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oilley\Downloads\"/>
    </mc:Choice>
  </mc:AlternateContent>
  <xr:revisionPtr revIDLastSave="0" documentId="8_{3339E77E-04C2-401A-9507-2EECAA2C3D60}" xr6:coauthVersionLast="47" xr6:coauthVersionMax="47" xr10:uidLastSave="{00000000-0000-0000-0000-000000000000}"/>
  <bookViews>
    <workbookView xWindow="-110" yWindow="-110" windowWidth="19420" windowHeight="10300" xr2:uid="{169A3058-0176-4AAD-B0FE-1EFFF054B745}"/>
  </bookViews>
  <sheets>
    <sheet name="Critères" sheetId="3" r:id="rId1"/>
    <sheet name="BaseDeCalcul" sheetId="5" state="hidden" r:id="rId2"/>
    <sheet name="P01" sheetId="6" state="hidden" r:id="rId3"/>
  </sheets>
  <definedNames>
    <definedName name="_xlnm.Print_Area" localSheetId="0">Critères!$A$1:$C$120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" i="3" l="1"/>
  <c r="D118" i="3"/>
  <c r="D119" i="3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A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A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A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A60" i="6"/>
  <c r="C59" i="6"/>
  <c r="B59" i="6"/>
  <c r="C58" i="6"/>
  <c r="B58" i="6"/>
  <c r="C57" i="6"/>
  <c r="B57" i="6"/>
  <c r="C56" i="6"/>
  <c r="B56" i="6"/>
  <c r="A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A46" i="6"/>
  <c r="C45" i="6"/>
  <c r="B45" i="6"/>
  <c r="C44" i="6"/>
  <c r="B44" i="6"/>
  <c r="C43" i="6"/>
  <c r="B43" i="6"/>
  <c r="C42" i="6"/>
  <c r="B42" i="6"/>
  <c r="C41" i="6"/>
  <c r="B41" i="6"/>
  <c r="A41" i="6"/>
  <c r="C40" i="6"/>
  <c r="B40" i="6"/>
  <c r="C39" i="6"/>
  <c r="B39" i="6"/>
  <c r="A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A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A18" i="6"/>
  <c r="C17" i="6"/>
  <c r="B17" i="6"/>
  <c r="C16" i="6"/>
  <c r="B16" i="6"/>
  <c r="C15" i="6"/>
  <c r="B15" i="6"/>
  <c r="A15" i="6"/>
  <c r="C14" i="6"/>
  <c r="B14" i="6"/>
  <c r="C13" i="6"/>
  <c r="B13" i="6"/>
  <c r="A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A4" i="6"/>
  <c r="A2" i="6"/>
  <c r="A1" i="6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W4" i="5"/>
  <c r="V4" i="5"/>
  <c r="U4" i="5"/>
  <c r="U122" i="5" s="1"/>
  <c r="T4" i="5"/>
  <c r="S4" i="5"/>
  <c r="R4" i="5"/>
  <c r="Q4" i="5"/>
  <c r="P4" i="5"/>
  <c r="O4" i="5"/>
  <c r="N4" i="5"/>
  <c r="M4" i="5"/>
  <c r="M124" i="5" s="1"/>
  <c r="L4" i="5"/>
  <c r="K4" i="5"/>
  <c r="K122" i="5" s="1"/>
  <c r="J4" i="5"/>
  <c r="I4" i="5"/>
  <c r="H4" i="5"/>
  <c r="G4" i="5"/>
  <c r="F4" i="5"/>
  <c r="E4" i="5"/>
  <c r="E124" i="5" s="1"/>
  <c r="D4" i="5"/>
  <c r="C4" i="5"/>
  <c r="B4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W3" i="5"/>
  <c r="W122" i="5" s="1"/>
  <c r="V3" i="5"/>
  <c r="U3" i="5"/>
  <c r="T3" i="5"/>
  <c r="S3" i="5"/>
  <c r="R3" i="5"/>
  <c r="Q3" i="5"/>
  <c r="Q122" i="5" s="1"/>
  <c r="P3" i="5"/>
  <c r="O3" i="5"/>
  <c r="O124" i="5" s="1"/>
  <c r="N3" i="5"/>
  <c r="M3" i="5"/>
  <c r="L3" i="5"/>
  <c r="K3" i="5"/>
  <c r="J3" i="5"/>
  <c r="I3" i="5"/>
  <c r="I122" i="5" s="1"/>
  <c r="H3" i="5"/>
  <c r="G3" i="5"/>
  <c r="G124" i="5" s="1"/>
  <c r="F3" i="5"/>
  <c r="E3" i="5"/>
  <c r="D3" i="5"/>
  <c r="C3" i="5"/>
  <c r="B3" i="5"/>
  <c r="D120" i="3"/>
  <c r="D116" i="3"/>
  <c r="D115" i="3"/>
  <c r="D114" i="3"/>
  <c r="D113" i="3"/>
  <c r="D112" i="3"/>
  <c r="D111" i="3"/>
  <c r="D110" i="3"/>
  <c r="D109" i="3"/>
  <c r="D107" i="3"/>
  <c r="D106" i="3"/>
  <c r="D105" i="3"/>
  <c r="D104" i="3"/>
  <c r="D103" i="3"/>
  <c r="D102" i="3"/>
  <c r="D101" i="3"/>
  <c r="D100" i="3"/>
  <c r="D99" i="3"/>
  <c r="D98" i="3"/>
  <c r="D97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6" i="3"/>
  <c r="D65" i="3"/>
  <c r="D64" i="3"/>
  <c r="D63" i="3"/>
  <c r="D61" i="3"/>
  <c r="D60" i="3"/>
  <c r="D59" i="3"/>
  <c r="D58" i="3"/>
  <c r="D57" i="3"/>
  <c r="D56" i="3"/>
  <c r="D55" i="3"/>
  <c r="D54" i="3"/>
  <c r="D53" i="3"/>
  <c r="D52" i="3"/>
  <c r="D50" i="3"/>
  <c r="D49" i="3"/>
  <c r="D48" i="3"/>
  <c r="D47" i="3"/>
  <c r="D46" i="3"/>
  <c r="D44" i="3"/>
  <c r="D43" i="3"/>
  <c r="D41" i="3"/>
  <c r="D40" i="3"/>
  <c r="D39" i="3"/>
  <c r="D38" i="3"/>
  <c r="D37" i="3"/>
  <c r="D36" i="3"/>
  <c r="D35" i="3"/>
  <c r="D34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8" i="3"/>
  <c r="D17" i="3"/>
  <c r="D16" i="3"/>
  <c r="D14" i="3"/>
  <c r="D13" i="3"/>
  <c r="D11" i="3"/>
  <c r="D10" i="3"/>
  <c r="D9" i="3"/>
  <c r="D8" i="3"/>
  <c r="D7" i="3"/>
  <c r="D6" i="3"/>
  <c r="D124" i="3" s="1"/>
  <c r="D5" i="3"/>
  <c r="D4" i="3"/>
  <c r="D3" i="3"/>
  <c r="A1" i="3"/>
  <c r="U124" i="5"/>
  <c r="S123" i="5"/>
  <c r="O122" i="5" l="1"/>
  <c r="Z3" i="5"/>
  <c r="AA9" i="5"/>
  <c r="Z20" i="5"/>
  <c r="S124" i="5"/>
  <c r="W124" i="5"/>
  <c r="W123" i="5"/>
  <c r="M122" i="5"/>
  <c r="O123" i="5"/>
  <c r="S122" i="5"/>
  <c r="S125" i="5" s="1"/>
  <c r="X125" i="5"/>
  <c r="K124" i="5"/>
  <c r="Z38" i="5"/>
  <c r="AA109" i="5"/>
  <c r="G123" i="5"/>
  <c r="O125" i="5"/>
  <c r="Y60" i="5"/>
  <c r="Z83" i="5"/>
  <c r="G122" i="5"/>
  <c r="K123" i="5"/>
  <c r="K125" i="5" s="1"/>
  <c r="M123" i="5"/>
  <c r="I124" i="5"/>
  <c r="AZ5" i="5"/>
  <c r="Z7" i="5"/>
  <c r="AZ9" i="5"/>
  <c r="AA11" i="5"/>
  <c r="AZ13" i="5"/>
  <c r="AA18" i="5"/>
  <c r="AZ21" i="5"/>
  <c r="AZ23" i="5"/>
  <c r="AZ25" i="5"/>
  <c r="AZ27" i="5"/>
  <c r="Z31" i="5"/>
  <c r="AZ34" i="5"/>
  <c r="AZ36" i="5"/>
  <c r="Z43" i="5"/>
  <c r="AZ46" i="5"/>
  <c r="AZ48" i="5"/>
  <c r="AZ50" i="5"/>
  <c r="AZ53" i="5"/>
  <c r="AZ55" i="5"/>
  <c r="AZ57" i="5"/>
  <c r="AZ59" i="5"/>
  <c r="AZ61" i="5"/>
  <c r="X63" i="5"/>
  <c r="AZ63" i="5"/>
  <c r="AZ64" i="5"/>
  <c r="X66" i="5"/>
  <c r="AZ66" i="5"/>
  <c r="X69" i="5"/>
  <c r="AZ69" i="5"/>
  <c r="AZ71" i="5"/>
  <c r="AZ73" i="5"/>
  <c r="AZ74" i="5"/>
  <c r="Y75" i="5"/>
  <c r="AZ76" i="5"/>
  <c r="Z77" i="5"/>
  <c r="AZ77" i="5"/>
  <c r="Y79" i="5"/>
  <c r="AZ79" i="5"/>
  <c r="AZ81" i="5"/>
  <c r="AZ83" i="5"/>
  <c r="AZ84" i="5"/>
  <c r="AA86" i="5"/>
  <c r="AZ86" i="5"/>
  <c r="AZ87" i="5"/>
  <c r="Y88" i="5"/>
  <c r="AZ88" i="5"/>
  <c r="Y89" i="5"/>
  <c r="AZ90" i="5"/>
  <c r="X92" i="5"/>
  <c r="AZ92" i="5"/>
  <c r="Z94" i="5"/>
  <c r="AZ94" i="5"/>
  <c r="AZ95" i="5"/>
  <c r="AZ97" i="5"/>
  <c r="Y99" i="5"/>
  <c r="AZ99" i="5"/>
  <c r="AZ100" i="5"/>
  <c r="Z101" i="5"/>
  <c r="AZ101" i="5"/>
  <c r="AZ102" i="5"/>
  <c r="AA103" i="5"/>
  <c r="AZ103" i="5"/>
  <c r="AZ105" i="5"/>
  <c r="Y107" i="5"/>
  <c r="AZ107" i="5"/>
  <c r="X110" i="5"/>
  <c r="AZ110" i="5"/>
  <c r="Y112" i="5"/>
  <c r="AZ112" i="5"/>
  <c r="X113" i="5"/>
  <c r="Z114" i="5"/>
  <c r="AZ114" i="5"/>
  <c r="X116" i="5"/>
  <c r="AZ116" i="5"/>
  <c r="X118" i="5"/>
  <c r="AZ118" i="5"/>
  <c r="Y120" i="5"/>
  <c r="AZ120" i="5"/>
  <c r="I123" i="5"/>
  <c r="I125" i="5" s="1"/>
  <c r="AA5" i="5"/>
  <c r="AZ7" i="5"/>
  <c r="Y10" i="5"/>
  <c r="AZ11" i="5"/>
  <c r="AZ16" i="5"/>
  <c r="AZ18" i="5"/>
  <c r="AZ22" i="5"/>
  <c r="AZ26" i="5"/>
  <c r="AZ29" i="5"/>
  <c r="AZ31" i="5"/>
  <c r="Z36" i="5"/>
  <c r="AZ38" i="5"/>
  <c r="AZ40" i="5"/>
  <c r="AA48" i="5"/>
  <c r="AZ49" i="5"/>
  <c r="X53" i="5"/>
  <c r="AZ54" i="5"/>
  <c r="AA57" i="5"/>
  <c r="W125" i="5"/>
  <c r="AZ3" i="5"/>
  <c r="AZ4" i="5"/>
  <c r="AZ6" i="5"/>
  <c r="AZ8" i="5"/>
  <c r="AZ10" i="5"/>
  <c r="AA16" i="5"/>
  <c r="Z9" i="5"/>
  <c r="X9" i="5"/>
  <c r="X21" i="5"/>
  <c r="Z21" i="5"/>
  <c r="AA28" i="5"/>
  <c r="Y28" i="5"/>
  <c r="X28" i="5"/>
  <c r="Z28" i="5"/>
  <c r="Y30" i="5"/>
  <c r="AA30" i="5"/>
  <c r="Z30" i="5"/>
  <c r="X30" i="5"/>
  <c r="AA32" i="5"/>
  <c r="Y32" i="5"/>
  <c r="X32" i="5"/>
  <c r="Z32" i="5"/>
  <c r="Y39" i="5"/>
  <c r="AA39" i="5"/>
  <c r="Z39" i="5"/>
  <c r="X39" i="5"/>
  <c r="Y47" i="5"/>
  <c r="AA47" i="5"/>
  <c r="X47" i="5"/>
  <c r="Z47" i="5"/>
  <c r="Y55" i="5"/>
  <c r="Z55" i="5"/>
  <c r="Z80" i="5"/>
  <c r="X80" i="5"/>
  <c r="AA80" i="5"/>
  <c r="Z81" i="5"/>
  <c r="X81" i="5"/>
  <c r="Y97" i="5"/>
  <c r="AA97" i="5"/>
  <c r="X102" i="5"/>
  <c r="Z102" i="5"/>
  <c r="Y102" i="5"/>
  <c r="F124" i="5"/>
  <c r="F122" i="5"/>
  <c r="Y3" i="5"/>
  <c r="F123" i="5"/>
  <c r="V124" i="5"/>
  <c r="V122" i="5"/>
  <c r="V123" i="5"/>
  <c r="X17" i="5"/>
  <c r="Z17" i="5"/>
  <c r="AA17" i="5"/>
  <c r="Y17" i="5"/>
  <c r="AA24" i="5"/>
  <c r="Z24" i="5"/>
  <c r="Y24" i="5"/>
  <c r="X24" i="5"/>
  <c r="Y49" i="5"/>
  <c r="AA49" i="5"/>
  <c r="X49" i="5"/>
  <c r="Z49" i="5"/>
  <c r="Y54" i="5"/>
  <c r="AA54" i="5"/>
  <c r="X54" i="5"/>
  <c r="Z68" i="5"/>
  <c r="Y68" i="5"/>
  <c r="AA68" i="5"/>
  <c r="X68" i="5"/>
  <c r="X70" i="5"/>
  <c r="AA70" i="5"/>
  <c r="Y70" i="5"/>
  <c r="Z70" i="5"/>
  <c r="Z72" i="5"/>
  <c r="Y72" i="5"/>
  <c r="AA72" i="5"/>
  <c r="X72" i="5"/>
  <c r="X73" i="5"/>
  <c r="Z73" i="5"/>
  <c r="Y73" i="5"/>
  <c r="Y83" i="5"/>
  <c r="AA83" i="5"/>
  <c r="X83" i="5"/>
  <c r="X84" i="5"/>
  <c r="Y84" i="5"/>
  <c r="Y91" i="5"/>
  <c r="AA91" i="5"/>
  <c r="X91" i="5"/>
  <c r="Z91" i="5"/>
  <c r="AA93" i="5"/>
  <c r="X93" i="5"/>
  <c r="Y93" i="5"/>
  <c r="Z93" i="5"/>
  <c r="X98" i="5"/>
  <c r="Z98" i="5"/>
  <c r="AA98" i="5"/>
  <c r="Y98" i="5"/>
  <c r="AA115" i="5"/>
  <c r="Y115" i="5"/>
  <c r="X115" i="5"/>
  <c r="Z115" i="5"/>
  <c r="AA119" i="5"/>
  <c r="Y119" i="5"/>
  <c r="Z119" i="5"/>
  <c r="X119" i="5"/>
  <c r="AA3" i="5"/>
  <c r="Z116" i="5"/>
  <c r="X86" i="5"/>
  <c r="Y14" i="5"/>
  <c r="AA14" i="5"/>
  <c r="Z14" i="5"/>
  <c r="AA20" i="5"/>
  <c r="Y20" i="5"/>
  <c r="X20" i="5"/>
  <c r="Y22" i="5"/>
  <c r="AA22" i="5"/>
  <c r="Z22" i="5"/>
  <c r="X22" i="5"/>
  <c r="Z27" i="5"/>
  <c r="X27" i="5"/>
  <c r="X34" i="5"/>
  <c r="Z34" i="5"/>
  <c r="AZ43" i="5"/>
  <c r="X44" i="5"/>
  <c r="Z44" i="5"/>
  <c r="Z45" i="5" s="1"/>
  <c r="Y44" i="5"/>
  <c r="AA44" i="5"/>
  <c r="AA46" i="5"/>
  <c r="Z46" i="5"/>
  <c r="X52" i="5"/>
  <c r="Z52" i="5"/>
  <c r="AA52" i="5"/>
  <c r="Y52" i="5"/>
  <c r="Y58" i="5"/>
  <c r="AA58" i="5"/>
  <c r="Z58" i="5"/>
  <c r="X58" i="5"/>
  <c r="X60" i="5"/>
  <c r="Z60" i="5"/>
  <c r="AA60" i="5"/>
  <c r="AA61" i="5"/>
  <c r="X61" i="5"/>
  <c r="Z76" i="5"/>
  <c r="Y76" i="5"/>
  <c r="X76" i="5"/>
  <c r="AA76" i="5"/>
  <c r="X78" i="5"/>
  <c r="Y78" i="5"/>
  <c r="Z78" i="5"/>
  <c r="AA78" i="5"/>
  <c r="AA90" i="5"/>
  <c r="X90" i="5"/>
  <c r="AZ17" i="5"/>
  <c r="AZ30" i="5"/>
  <c r="AZ37" i="5"/>
  <c r="Y38" i="5"/>
  <c r="AA40" i="5"/>
  <c r="Y43" i="5"/>
  <c r="AZ44" i="5"/>
  <c r="AZ47" i="5"/>
  <c r="X48" i="5"/>
  <c r="Y50" i="5"/>
  <c r="Y53" i="5"/>
  <c r="AZ56" i="5"/>
  <c r="AZ58" i="5"/>
  <c r="Z59" i="5"/>
  <c r="AA71" i="5"/>
  <c r="Z23" i="5"/>
  <c r="X23" i="5"/>
  <c r="X35" i="5"/>
  <c r="AA35" i="5"/>
  <c r="Y35" i="5"/>
  <c r="Z35" i="5"/>
  <c r="Y37" i="5"/>
  <c r="Z37" i="5"/>
  <c r="AA37" i="5"/>
  <c r="X37" i="5"/>
  <c r="Y87" i="5"/>
  <c r="AA87" i="5"/>
  <c r="X87" i="5"/>
  <c r="Z87" i="5"/>
  <c r="Y7" i="5"/>
  <c r="N124" i="5"/>
  <c r="N122" i="5"/>
  <c r="N123" i="5"/>
  <c r="AA29" i="5"/>
  <c r="Z29" i="5"/>
  <c r="Y41" i="5"/>
  <c r="X41" i="5"/>
  <c r="AA41" i="5"/>
  <c r="Z41" i="5"/>
  <c r="X56" i="5"/>
  <c r="Z56" i="5"/>
  <c r="AA56" i="5"/>
  <c r="Y56" i="5"/>
  <c r="Y63" i="5"/>
  <c r="Z63" i="5"/>
  <c r="AA63" i="5"/>
  <c r="AA65" i="5"/>
  <c r="X65" i="5"/>
  <c r="Z65" i="5"/>
  <c r="Y65" i="5"/>
  <c r="AA66" i="5"/>
  <c r="Y66" i="5"/>
  <c r="AA69" i="5"/>
  <c r="Z69" i="5"/>
  <c r="X74" i="5"/>
  <c r="Y74" i="5"/>
  <c r="AA74" i="5"/>
  <c r="Z74" i="5"/>
  <c r="X85" i="5"/>
  <c r="Z85" i="5"/>
  <c r="AA85" i="5"/>
  <c r="Y85" i="5"/>
  <c r="X89" i="5"/>
  <c r="AA89" i="5"/>
  <c r="Z89" i="5"/>
  <c r="Y95" i="5"/>
  <c r="AA95" i="5"/>
  <c r="X95" i="5"/>
  <c r="Z95" i="5"/>
  <c r="AA105" i="5"/>
  <c r="Y105" i="5"/>
  <c r="AA111" i="5"/>
  <c r="Y111" i="5"/>
  <c r="Z111" i="5"/>
  <c r="X111" i="5"/>
  <c r="Y117" i="5"/>
  <c r="Z117" i="5"/>
  <c r="AA117" i="5"/>
  <c r="X117" i="5"/>
  <c r="X5" i="5"/>
  <c r="Y5" i="5"/>
  <c r="X29" i="5"/>
  <c r="D122" i="3"/>
  <c r="X16" i="5"/>
  <c r="AA7" i="5"/>
  <c r="Y16" i="5"/>
  <c r="Z54" i="5"/>
  <c r="AA102" i="5"/>
  <c r="X11" i="5"/>
  <c r="Z11" i="5"/>
  <c r="Y11" i="5"/>
  <c r="AA25" i="5"/>
  <c r="Z25" i="5"/>
  <c r="X25" i="5"/>
  <c r="Y26" i="5"/>
  <c r="AA26" i="5"/>
  <c r="Z26" i="5"/>
  <c r="X26" i="5"/>
  <c r="X64" i="5"/>
  <c r="Z64" i="5"/>
  <c r="AZ75" i="5"/>
  <c r="Z100" i="5"/>
  <c r="AA100" i="5"/>
  <c r="X100" i="5"/>
  <c r="Y100" i="5"/>
  <c r="Z104" i="5"/>
  <c r="X104" i="5"/>
  <c r="AA104" i="5"/>
  <c r="Y104" i="5"/>
  <c r="AB104" i="5" s="1"/>
  <c r="X106" i="5"/>
  <c r="Z106" i="5"/>
  <c r="AA106" i="5"/>
  <c r="Y109" i="5"/>
  <c r="Z109" i="5"/>
  <c r="X109" i="5"/>
  <c r="Y113" i="5"/>
  <c r="AA113" i="5"/>
  <c r="Z113" i="5"/>
  <c r="Y46" i="5"/>
  <c r="X14" i="5"/>
  <c r="X31" i="5"/>
  <c r="Y9" i="5"/>
  <c r="Y18" i="5"/>
  <c r="X36" i="5"/>
  <c r="X57" i="5"/>
  <c r="Y80" i="5"/>
  <c r="Y106" i="5"/>
  <c r="H123" i="5"/>
  <c r="H124" i="5"/>
  <c r="H122" i="5"/>
  <c r="P123" i="5"/>
  <c r="P124" i="5"/>
  <c r="P122" i="5"/>
  <c r="Z4" i="5"/>
  <c r="X4" i="5"/>
  <c r="X6" i="5"/>
  <c r="Z8" i="5"/>
  <c r="X8" i="5"/>
  <c r="X10" i="5"/>
  <c r="AA13" i="5"/>
  <c r="Z16" i="5"/>
  <c r="X18" i="5"/>
  <c r="Z18" i="5"/>
  <c r="Y21" i="5"/>
  <c r="AA23" i="5"/>
  <c r="Y23" i="5"/>
  <c r="Y25" i="5"/>
  <c r="AA27" i="5"/>
  <c r="Y27" i="5"/>
  <c r="Y29" i="5"/>
  <c r="AA31" i="5"/>
  <c r="Y31" i="5"/>
  <c r="AA34" i="5"/>
  <c r="Y34" i="5"/>
  <c r="Y36" i="5"/>
  <c r="AA36" i="5"/>
  <c r="X38" i="5"/>
  <c r="Z40" i="5"/>
  <c r="AA43" i="5"/>
  <c r="X46" i="5"/>
  <c r="Q124" i="5"/>
  <c r="Q123" i="5"/>
  <c r="Q125" i="5" s="1"/>
  <c r="E122" i="5"/>
  <c r="E123" i="5"/>
  <c r="Y8" i="5"/>
  <c r="AA21" i="5"/>
  <c r="AZ41" i="5"/>
  <c r="AZ60" i="5"/>
  <c r="Y61" i="5"/>
  <c r="AZ65" i="5"/>
  <c r="Z66" i="5"/>
  <c r="AZ68" i="5"/>
  <c r="Y69" i="5"/>
  <c r="AZ70" i="5"/>
  <c r="AZ72" i="5"/>
  <c r="AA73" i="5"/>
  <c r="AA75" i="5"/>
  <c r="AA77" i="5"/>
  <c r="Y77" i="5"/>
  <c r="AZ78" i="5"/>
  <c r="AA79" i="5"/>
  <c r="AZ80" i="5"/>
  <c r="Y81" i="5"/>
  <c r="AA81" i="5"/>
  <c r="Z84" i="5"/>
  <c r="AZ85" i="5"/>
  <c r="Z86" i="5"/>
  <c r="Z88" i="5"/>
  <c r="X88" i="5"/>
  <c r="Z90" i="5"/>
  <c r="AZ91" i="5"/>
  <c r="Z92" i="5"/>
  <c r="AA94" i="5"/>
  <c r="Z97" i="5"/>
  <c r="AZ98" i="5"/>
  <c r="AA99" i="5"/>
  <c r="Y101" i="5"/>
  <c r="Y103" i="5"/>
  <c r="AZ104" i="5"/>
  <c r="Z105" i="5"/>
  <c r="AZ106" i="5"/>
  <c r="AA107" i="5"/>
  <c r="Z110" i="5"/>
  <c r="X112" i="5"/>
  <c r="X114" i="5"/>
  <c r="Y116" i="5"/>
  <c r="Z118" i="5"/>
  <c r="Z120" i="5"/>
  <c r="R123" i="5"/>
  <c r="R122" i="5"/>
  <c r="AZ20" i="5"/>
  <c r="AZ35" i="5"/>
  <c r="Z6" i="5"/>
  <c r="X13" i="5"/>
  <c r="X40" i="5"/>
  <c r="U123" i="5"/>
  <c r="U125" i="5" s="1"/>
  <c r="AZ28" i="5"/>
  <c r="AZ52" i="5"/>
  <c r="AA4" i="5"/>
  <c r="AA10" i="5"/>
  <c r="AA6" i="5"/>
  <c r="Y40" i="5"/>
  <c r="X43" i="5"/>
  <c r="AA53" i="5"/>
  <c r="Y71" i="5"/>
  <c r="R124" i="5"/>
  <c r="Z5" i="5"/>
  <c r="X7" i="5"/>
  <c r="Y4" i="5"/>
  <c r="Y6" i="5"/>
  <c r="Z10" i="5"/>
  <c r="J123" i="5"/>
  <c r="J124" i="5"/>
  <c r="AZ14" i="5"/>
  <c r="AZ24" i="5"/>
  <c r="AZ32" i="5"/>
  <c r="AZ39" i="5"/>
  <c r="AA59" i="5"/>
  <c r="AA8" i="5"/>
  <c r="Y13" i="5"/>
  <c r="Z13" i="5"/>
  <c r="Z15" i="5" s="1"/>
  <c r="X77" i="5"/>
  <c r="J122" i="5"/>
  <c r="D123" i="3"/>
  <c r="AA101" i="5"/>
  <c r="Z112" i="5"/>
  <c r="AA38" i="5"/>
  <c r="Y48" i="5"/>
  <c r="AB48" i="5" s="1"/>
  <c r="AA50" i="5"/>
  <c r="Z53" i="5"/>
  <c r="X55" i="5"/>
  <c r="Z57" i="5"/>
  <c r="X59" i="5"/>
  <c r="Z61" i="5"/>
  <c r="Y64" i="5"/>
  <c r="AA64" i="5"/>
  <c r="X71" i="5"/>
  <c r="Z71" i="5"/>
  <c r="X75" i="5"/>
  <c r="Z75" i="5"/>
  <c r="X79" i="5"/>
  <c r="Z79" i="5"/>
  <c r="AA84" i="5"/>
  <c r="Y86" i="5"/>
  <c r="AA88" i="5"/>
  <c r="Y90" i="5"/>
  <c r="AA92" i="5"/>
  <c r="Y92" i="5"/>
  <c r="Y94" i="5"/>
  <c r="X97" i="5"/>
  <c r="Z99" i="5"/>
  <c r="X99" i="5"/>
  <c r="X101" i="5"/>
  <c r="Z103" i="5"/>
  <c r="X103" i="5"/>
  <c r="X105" i="5"/>
  <c r="Z107" i="5"/>
  <c r="X107" i="5"/>
  <c r="Y110" i="5"/>
  <c r="AA110" i="5"/>
  <c r="AA112" i="5"/>
  <c r="Y114" i="5"/>
  <c r="AA114" i="5"/>
  <c r="AA116" i="5"/>
  <c r="Y118" i="5"/>
  <c r="AA118" i="5"/>
  <c r="AA120" i="5"/>
  <c r="AZ89" i="5"/>
  <c r="AZ93" i="5"/>
  <c r="AZ109" i="5"/>
  <c r="AZ111" i="5"/>
  <c r="AZ113" i="5"/>
  <c r="AZ115" i="5"/>
  <c r="AZ117" i="5"/>
  <c r="AZ119" i="5"/>
  <c r="Z48" i="5"/>
  <c r="X50" i="5"/>
  <c r="AA55" i="5"/>
  <c r="Y57" i="5"/>
  <c r="Y59" i="5"/>
  <c r="X94" i="5"/>
  <c r="X120" i="5"/>
  <c r="L124" i="5"/>
  <c r="L122" i="5"/>
  <c r="L123" i="5"/>
  <c r="D124" i="5"/>
  <c r="D122" i="5"/>
  <c r="D123" i="5"/>
  <c r="T124" i="5"/>
  <c r="T122" i="5"/>
  <c r="T123" i="5"/>
  <c r="X3" i="5"/>
  <c r="Z50" i="5"/>
  <c r="AA19" i="5" l="1"/>
  <c r="M125" i="5"/>
  <c r="AB112" i="5"/>
  <c r="AB35" i="5"/>
  <c r="AB90" i="5"/>
  <c r="R125" i="5"/>
  <c r="AB25" i="5"/>
  <c r="AB107" i="5"/>
  <c r="AA15" i="5"/>
  <c r="AZ19" i="5"/>
  <c r="AB31" i="5"/>
  <c r="AB21" i="5"/>
  <c r="G125" i="5"/>
  <c r="AZ67" i="5"/>
  <c r="X45" i="5"/>
  <c r="AZ51" i="5"/>
  <c r="AB57" i="5"/>
  <c r="AB75" i="5"/>
  <c r="AB10" i="5"/>
  <c r="AZ15" i="5"/>
  <c r="X15" i="5"/>
  <c r="AB26" i="5"/>
  <c r="AB89" i="5"/>
  <c r="AA51" i="5"/>
  <c r="AB86" i="5"/>
  <c r="AB120" i="5"/>
  <c r="AB79" i="5"/>
  <c r="AB84" i="5"/>
  <c r="Z12" i="5"/>
  <c r="AB106" i="5"/>
  <c r="F125" i="5"/>
  <c r="AB95" i="5"/>
  <c r="AB59" i="5"/>
  <c r="AB92" i="5"/>
  <c r="AZ42" i="5"/>
  <c r="AB101" i="5"/>
  <c r="AB88" i="5"/>
  <c r="AB69" i="5"/>
  <c r="AB8" i="5"/>
  <c r="AB27" i="5"/>
  <c r="Z19" i="5"/>
  <c r="AB80" i="5"/>
  <c r="AB74" i="5"/>
  <c r="AB60" i="5"/>
  <c r="AB115" i="5"/>
  <c r="AB72" i="5"/>
  <c r="AB49" i="5"/>
  <c r="AZ108" i="5"/>
  <c r="E125" i="5"/>
  <c r="AB36" i="5"/>
  <c r="AA33" i="5"/>
  <c r="AZ12" i="5"/>
  <c r="AZ62" i="5"/>
  <c r="AB76" i="5"/>
  <c r="AZ96" i="5"/>
  <c r="AB23" i="5"/>
  <c r="H125" i="5"/>
  <c r="AB18" i="5"/>
  <c r="AB70" i="5"/>
  <c r="AA121" i="5"/>
  <c r="AB99" i="5"/>
  <c r="Z96" i="5"/>
  <c r="AB61" i="5"/>
  <c r="X67" i="5"/>
  <c r="AB66" i="5"/>
  <c r="AB39" i="5"/>
  <c r="AB30" i="5"/>
  <c r="Z33" i="5"/>
  <c r="AB71" i="5"/>
  <c r="Z108" i="5"/>
  <c r="Y42" i="5"/>
  <c r="AB34" i="5"/>
  <c r="AB113" i="5"/>
  <c r="AB105" i="5"/>
  <c r="AB38" i="5"/>
  <c r="AA12" i="5"/>
  <c r="AA96" i="5"/>
  <c r="Z82" i="5"/>
  <c r="X96" i="5"/>
  <c r="AB68" i="5"/>
  <c r="Y82" i="5"/>
  <c r="AB55" i="5"/>
  <c r="AA42" i="5"/>
  <c r="AB9" i="5"/>
  <c r="X121" i="5"/>
  <c r="AB16" i="5"/>
  <c r="Y19" i="5"/>
  <c r="AB85" i="5"/>
  <c r="AA67" i="5"/>
  <c r="N125" i="5"/>
  <c r="AB87" i="5"/>
  <c r="AB53" i="5"/>
  <c r="AB58" i="5"/>
  <c r="AB44" i="5"/>
  <c r="AB98" i="5"/>
  <c r="Y96" i="5"/>
  <c r="AB83" i="5"/>
  <c r="AB24" i="5"/>
  <c r="AB102" i="5"/>
  <c r="AZ121" i="5"/>
  <c r="AB114" i="5"/>
  <c r="AB77" i="5"/>
  <c r="L125" i="5"/>
  <c r="Y15" i="5"/>
  <c r="AB13" i="5"/>
  <c r="AB110" i="5"/>
  <c r="AB64" i="5"/>
  <c r="X51" i="5"/>
  <c r="Z121" i="5"/>
  <c r="Z67" i="5"/>
  <c r="AB50" i="5"/>
  <c r="AB52" i="5"/>
  <c r="Y62" i="5"/>
  <c r="AB14" i="5"/>
  <c r="AB73" i="5"/>
  <c r="AB32" i="5"/>
  <c r="AB28" i="5"/>
  <c r="AB6" i="5"/>
  <c r="AB40" i="5"/>
  <c r="AB81" i="5"/>
  <c r="AA45" i="5"/>
  <c r="Y121" i="5"/>
  <c r="AB109" i="5"/>
  <c r="AB100" i="5"/>
  <c r="AB11" i="5"/>
  <c r="X19" i="5"/>
  <c r="AB117" i="5"/>
  <c r="Y67" i="5"/>
  <c r="AB63" i="5"/>
  <c r="AB41" i="5"/>
  <c r="AB78" i="5"/>
  <c r="AA62" i="5"/>
  <c r="AB119" i="5"/>
  <c r="AB54" i="5"/>
  <c r="V125" i="5"/>
  <c r="AB47" i="5"/>
  <c r="X12" i="5"/>
  <c r="T125" i="5"/>
  <c r="X108" i="5"/>
  <c r="AB118" i="5"/>
  <c r="AB94" i="5"/>
  <c r="AB4" i="5"/>
  <c r="AB116" i="5"/>
  <c r="AB103" i="5"/>
  <c r="AB29" i="5"/>
  <c r="AB46" i="5"/>
  <c r="Y51" i="5"/>
  <c r="D125" i="3"/>
  <c r="AB56" i="5"/>
  <c r="Z62" i="5"/>
  <c r="AZ45" i="5"/>
  <c r="AB22" i="5"/>
  <c r="AB91" i="5"/>
  <c r="AB17" i="5"/>
  <c r="AA108" i="5"/>
  <c r="X82" i="5"/>
  <c r="AB97" i="5"/>
  <c r="Y108" i="5"/>
  <c r="P125" i="5"/>
  <c r="AB65" i="5"/>
  <c r="AB7" i="5"/>
  <c r="X62" i="5"/>
  <c r="Z42" i="5"/>
  <c r="X33" i="5"/>
  <c r="D125" i="5"/>
  <c r="J125" i="5"/>
  <c r="AZ33" i="5"/>
  <c r="AZ82" i="5"/>
  <c r="AB5" i="5"/>
  <c r="AB111" i="5"/>
  <c r="AB37" i="5"/>
  <c r="Y45" i="5"/>
  <c r="AB43" i="5"/>
  <c r="Z51" i="5"/>
  <c r="X42" i="5"/>
  <c r="Y33" i="5"/>
  <c r="AB20" i="5"/>
  <c r="AB93" i="5"/>
  <c r="AA82" i="5"/>
  <c r="Y12" i="5"/>
  <c r="AB3" i="5"/>
</calcChain>
</file>

<file path=xl/sharedStrings.xml><?xml version="1.0" encoding="utf-8"?>
<sst xmlns="http://schemas.openxmlformats.org/spreadsheetml/2006/main" count="501" uniqueCount="264">
  <si>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</si>
  <si>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</si>
  <si>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</si>
  <si>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</si>
  <si>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</si>
  <si>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</si>
  <si>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</si>
  <si>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</si>
  <si>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</si>
  <si>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</si>
  <si>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</si>
  <si>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</si>
  <si>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</si>
  <si>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</si>
  <si>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</si>
  <si>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</si>
  <si>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</si>
  <si>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</si>
  <si>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</si>
  <si>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</si>
  <si>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Thématique</t>
  </si>
  <si>
    <t>Critère</t>
  </si>
  <si>
    <t>Recommandation</t>
  </si>
  <si>
    <t>Validation</t>
  </si>
  <si>
    <t>IMAGES</t>
  </si>
  <si>
    <t>1.1</t>
  </si>
  <si>
    <t>Chaque image porteuse d’information a-t-elle une alternative textuelle ?</t>
  </si>
  <si>
    <t>NT</t>
  </si>
  <si>
    <t>1.2</t>
  </si>
  <si>
    <t>Chaque image de décoration est-elle correctement ignorée par les technologies d’assistance ?</t>
  </si>
  <si>
    <t>1.3</t>
  </si>
  <si>
    <t>Pour chaque image porteuse d'information ayant une alternative textuelle, cette alternative est-elle pertinente (hors cas particuliers) ?</t>
  </si>
  <si>
    <t>1.4</t>
  </si>
  <si>
    <t>Pour chaque image utilisée comme CAPTCHA ou comme image-test, ayant une alternative textuelle, cette alternative permet-elle d’identifier la nature et la fonction de l’image ?</t>
  </si>
  <si>
    <t>1.5</t>
  </si>
  <si>
    <t>Pour chaque image utilisée comme CAPTCHA, une solution d’accès alternatif au contenu ou à la fonction du CAPTCHA est-elle présente ?</t>
  </si>
  <si>
    <t>1.6</t>
  </si>
  <si>
    <t>Chaque image porteuse d’information a-t-elle, si nécessaire, une description détaillée ?</t>
  </si>
  <si>
    <t>1.7</t>
  </si>
  <si>
    <t>Pour chaque image porteuse d’information ayant une description détaillée, cette description est-elle pertinente ?</t>
  </si>
  <si>
    <t>1.8</t>
  </si>
  <si>
    <t>Chaque image texte porteuse d’information, en l’absence d’un mécanisme de remplacement, doit si possible être remplacée par du texte stylé. Cette règle est-elle respectée (hors cas particuliers) ?</t>
  </si>
  <si>
    <t>1.9</t>
  </si>
  <si>
    <t>Chaque légende d’image est-elle, si nécessaire, correctement reliée à l’image correspondante ?</t>
  </si>
  <si>
    <t>CADRES</t>
  </si>
  <si>
    <t>2.1</t>
  </si>
  <si>
    <t>Chaque cadre a-t-il un titre de cadre ?</t>
  </si>
  <si>
    <t>2.2</t>
  </si>
  <si>
    <t>Pour chaque cadre ayant un titre de cadre, ce titre de cadre est-il pertinent ?</t>
  </si>
  <si>
    <t>COULEURS</t>
  </si>
  <si>
    <t>3.1</t>
  </si>
  <si>
    <t>Dans chaque page web, l’information ne doit pas être donnée uniquement par la couleur. Cette règle est-elle respectée ?</t>
  </si>
  <si>
    <t>3.2</t>
  </si>
  <si>
    <t>Dans chaque page web, le contraste entre la couleur du texte et la couleur de son arrière-plan est-il suffisamment élevé (hors cas particuliers) ?</t>
  </si>
  <si>
    <t>3.3</t>
  </si>
  <si>
    <t>Dans chaque page web, les couleurs utilisées dans les composants d’interface ou les éléments graphiques porteurs d’informations sont-elles suffisamment contrastées (hors cas particuliers) ?</t>
  </si>
  <si>
    <t>MULTIMÉDIA</t>
  </si>
  <si>
    <t>4.1</t>
  </si>
  <si>
    <t>Chaque média temporel pré-enregistré a-t-il, si nécessaire, une transcription textuelle ou une audiodescription (hors cas particuliers) ?</t>
  </si>
  <si>
    <t>4.2</t>
  </si>
  <si>
    <t>Pour chaque média temporel pré-enregistré ayant une transcription textuelle ou une audiodescription synchronisée, celles-ci sont-elles pertinentes (hors cas particuliers) ?</t>
  </si>
  <si>
    <t>4.3</t>
  </si>
  <si>
    <t>Chaque média temporel synchronisé pré-enregistré a-t-il, si nécessaire, des sous-titres synchronisés (hors cas particuliers) ?</t>
  </si>
  <si>
    <t>4.4</t>
  </si>
  <si>
    <t>Pour chaque média temporel synchronisé pré-enregistré ayant des sous-titres synchronisés, ces sous-titres sont-ils pertinents ?</t>
  </si>
  <si>
    <t>4.5</t>
  </si>
  <si>
    <t>Chaque média temporel pré-enregistré a-t-il, si nécessaire, une audiodescription synchronisée (hors cas particuliers) ?</t>
  </si>
  <si>
    <t>4.6</t>
  </si>
  <si>
    <t>Pour chaque média temporel pré-enregistré ayant une audiodescription synchronisée, celle-ci est-elle pertinente ?</t>
  </si>
  <si>
    <t>4.7</t>
  </si>
  <si>
    <t>Chaque média temporel est-il clairement identifiable (hors cas particuliers) ?</t>
  </si>
  <si>
    <t>4.8</t>
  </si>
  <si>
    <t>Chaque média non temporel a-t-il, si nécessaire, une alternative (hors cas particuliers) ?</t>
  </si>
  <si>
    <t>4.9</t>
  </si>
  <si>
    <t>Pour chaque média non temporel ayant une alternative, cette alternative est-elle pertinente ?</t>
  </si>
  <si>
    <t>4.10</t>
  </si>
  <si>
    <t>Chaque son déclenché automatiquement est-il contrôlable par l’utilisateur ?</t>
  </si>
  <si>
    <t>4.11</t>
  </si>
  <si>
    <t>La consultation de chaque média temporel est-elle, si nécessaire, contrôlable par le clavier et tout dispositif de pointage ?</t>
  </si>
  <si>
    <t>4.12</t>
  </si>
  <si>
    <t>La consultation de chaque média non temporel est-elle contrôlable par le clavier et tout dispositif de pointage ?</t>
  </si>
  <si>
    <t>4.13</t>
  </si>
  <si>
    <t>Chaque média temporel et non temporel est-il compatible avec les technologies d’assistance (hors cas particuliers) ?</t>
  </si>
  <si>
    <t>TABLEAUX</t>
  </si>
  <si>
    <t>5.1</t>
  </si>
  <si>
    <t>Chaque tableau de données complexe a-t-il un résumé ?</t>
  </si>
  <si>
    <t>5.2</t>
  </si>
  <si>
    <t>Pour chaque tableau de données complexe ayant un résumé, celui-ci est-il pertinent ?</t>
  </si>
  <si>
    <t>5.3</t>
  </si>
  <si>
    <t>Pour chaque tableau de mise en forme, le contenu linéarisé reste-t-il compréhensible ?</t>
  </si>
  <si>
    <t>5.4</t>
  </si>
  <si>
    <t>Pour chaque tableau de données ayant un titre, le titre est-il correctement associé au tableau de données ?</t>
  </si>
  <si>
    <t>5.5</t>
  </si>
  <si>
    <t>Pour chaque tableau de données ayant un titre, celui-ci est-il pertinent ?</t>
  </si>
  <si>
    <t>5.6</t>
  </si>
  <si>
    <t>Pour chaque tableau de données, chaque en-tête de colonnes et chaque en-tête de lignes sont-ils correctement déclarés ?</t>
  </si>
  <si>
    <t>5.7</t>
  </si>
  <si>
    <t>Pour chaque tableau de données, la technique appropriée permettant d’associer chaque cellule avec ses en-têtes est-elle utilisée (hors cas particuliers) ?</t>
  </si>
  <si>
    <t>5.8</t>
  </si>
  <si>
    <t>Chaque tableau de mise en forme ne doit pas utiliser d’éléments propres aux tableaux de données. Cette règle est-elle respectée ?</t>
  </si>
  <si>
    <t>LIENS</t>
  </si>
  <si>
    <t>6.1</t>
  </si>
  <si>
    <t>Chaque lien est-il explicite (hors cas particuliers) ?</t>
  </si>
  <si>
    <t>6.2</t>
  </si>
  <si>
    <t>Dans chaque page web, chaque lien a-t-il un intitulé ?</t>
  </si>
  <si>
    <t>SCRIPTS</t>
  </si>
  <si>
    <t>7.1</t>
  </si>
  <si>
    <t>Chaque script est-il, si nécessaire, compatible avec les technologies d’assistance ?</t>
  </si>
  <si>
    <t>7.2</t>
  </si>
  <si>
    <t>Pour chaque script ayant une alternative, cette alternative est-elle pertinente ?</t>
  </si>
  <si>
    <t>7.3</t>
  </si>
  <si>
    <t>Chaque script est-il contrôlable par le clavier et par tout dispositif de pointage (hors cas particuliers) ?</t>
  </si>
  <si>
    <t>7.4</t>
  </si>
  <si>
    <t>Pour chaque script qui initie un changement de contexte, l’utilisateur est-il averti ou en a-t-il le contrôle ?</t>
  </si>
  <si>
    <t>7.5</t>
  </si>
  <si>
    <t>Dans chaque page web, les messages de statut sont-ils correctement restitués par les technologies d’assistance ?</t>
  </si>
  <si>
    <t>ÉLÉMENTS OBLIGATOIRES</t>
  </si>
  <si>
    <t>8.1</t>
  </si>
  <si>
    <t>Chaque page web est-elle définie par un type de document ?</t>
  </si>
  <si>
    <t>8.2</t>
  </si>
  <si>
    <t>Pour chaque page web, le code source généré est-il valide selon le type de document spécifié (hors cas particuliers) ?</t>
  </si>
  <si>
    <t>8.3</t>
  </si>
  <si>
    <t>Dans chaque page web, la langue par défaut est-elle présente ?</t>
  </si>
  <si>
    <t>8.4</t>
  </si>
  <si>
    <t>Pour chaque page web ayant une langue par défaut, le code de langue est-il pertinent ?</t>
  </si>
  <si>
    <t>8.5</t>
  </si>
  <si>
    <t>Chaque page web a-t-elle un titre de page ?</t>
  </si>
  <si>
    <t>8.6</t>
  </si>
  <si>
    <t>Pour chaque page web ayant un titre de page, ce titre est-il pertinent ?</t>
  </si>
  <si>
    <t>8.7</t>
  </si>
  <si>
    <t>Dans chaque page web, chaque changement de langue est-il indiqué dans le code source (hors cas particuliers) ?</t>
  </si>
  <si>
    <t>8.8</t>
  </si>
  <si>
    <t>Dans chaque page web, le code de langue de chaque changement de langue est-il valide et pertinent ?</t>
  </si>
  <si>
    <t>8.9</t>
  </si>
  <si>
    <t>Dans chaque page web, les balises ne doivent pas être utilisées uniquement à des fins de présentation. Cette règle est-elle respectée ?</t>
  </si>
  <si>
    <t>8.10</t>
  </si>
  <si>
    <t>Dans chaque page web, les changements du sens de lecture sont-ils signalés ?</t>
  </si>
  <si>
    <t>STRUCTURATION</t>
  </si>
  <si>
    <t>9.1</t>
  </si>
  <si>
    <t>Dans chaque page web, l’information est-elle structurée par l’utilisation appropriée de titres ?</t>
  </si>
  <si>
    <t>9.2</t>
  </si>
  <si>
    <t>Dans chaque page web, la structure du document est-elle cohérente (hors cas particuliers) ?</t>
  </si>
  <si>
    <t>9.3</t>
  </si>
  <si>
    <t>Dans chaque page web, chaque liste est-elle correctement structurée ?</t>
  </si>
  <si>
    <t>9.4</t>
  </si>
  <si>
    <t>Dans chaque page web, chaque citation est-elle correctement indiquée ?</t>
  </si>
  <si>
    <t>PRÉSENTATION</t>
  </si>
  <si>
    <t>10.1</t>
  </si>
  <si>
    <t>Dans le site web, des feuilles de styles sont-elles utilisées pour contrôler la présentation de l’information ?</t>
  </si>
  <si>
    <t>10.2</t>
  </si>
  <si>
    <t>Dans chaque page web, le contenu visible porteur d’information reste-t-il présent lorsque les feuilles de styles sont désactivées ?</t>
  </si>
  <si>
    <t>10.3</t>
  </si>
  <si>
    <t>Dans chaque page web, l’information reste-t-elle compréhensible lorsque les feuilles de styles sont désactivées ?</t>
  </si>
  <si>
    <t>10.4</t>
  </si>
  <si>
    <t>Dans chaque page web, le texte reste-t-il lisible lorsque la taille des caractères est augmentée jusqu’à 200%, au moins (hors cas particuliers) ?</t>
  </si>
  <si>
    <t>10.5</t>
  </si>
  <si>
    <t>Dans chaque page web, les déclarations CSS de couleurs de fond d’élément et de police sont-elles correctement utilisées ?</t>
  </si>
  <si>
    <t>10.6</t>
  </si>
  <si>
    <t>Dans chaque page web, chaque lien dont la nature n’est pas évidente est-il visible par rapport au texte environnant ?</t>
  </si>
  <si>
    <t>10.7</t>
  </si>
  <si>
    <t>Dans chaque page web, pour chaque élément recevant le focus, la prise de focus est-elle visible ?</t>
  </si>
  <si>
    <t>10.8</t>
  </si>
  <si>
    <t>Pour chaque page web, les contenus cachés ont-ils vocation à être ignorés par les technologies d’assistance ?</t>
  </si>
  <si>
    <t>10.9</t>
  </si>
  <si>
    <t>Dans chaque page web, l’information ne doit pas être donnée uniquement par la forme, taille ou position. Cette règle est-elle respectée ?</t>
  </si>
  <si>
    <t>10.10</t>
  </si>
  <si>
    <t>Dans chaque page web, l’information ne doit pas être donnée par la forme, taille ou position uniquement. Cette règle est-elle implémentée de façon pertinente ?</t>
  </si>
  <si>
    <t>10.11</t>
  </si>
  <si>
    <t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 ?</t>
  </si>
  <si>
    <t>10.12</t>
  </si>
  <si>
    <t>Dans chaque page web, les propriétés d’espacement du texte peuvent-elles être redéfinies par l’utilisateur sans perte de contenu ou de fonctionnalité (hors cas particuliers) ?</t>
  </si>
  <si>
    <t>10.13</t>
  </si>
  <si>
    <t>Dans chaque page web, les contenus additionnels apparaissant à la prise de focus ou au survol d’un composant d’interface sont-ils contrôlables par l’utilisateur (hors cas particuliers) ?</t>
  </si>
  <si>
    <t>10.14</t>
  </si>
  <si>
    <t>Dans chaque page web, les contenus additionnels apparaissant via les styles CSS uniquement peuvent-ils être rendus visibles au clavier et par tout dispositif de pointage ?</t>
  </si>
  <si>
    <t>FORMULAIRES</t>
  </si>
  <si>
    <t>11.1</t>
  </si>
  <si>
    <t>Chaque champ de formulaire a-t-il une étiquette ?</t>
  </si>
  <si>
    <t>11.2</t>
  </si>
  <si>
    <t>Chaque étiquette associée à un champ de formulaire est-elle pertinente (hors cas particuliers) ?</t>
  </si>
  <si>
    <t>11.3</t>
  </si>
  <si>
    <t>Dans chaque formulaire, chaque étiquette associée à un champ de formulaire ayant la même fonction et répété plusieurs fois dans une même page ou dans un ensemble de pages est-elle cohérente ?</t>
  </si>
  <si>
    <t>11.4</t>
  </si>
  <si>
    <t>Dans chaque formulaire, chaque étiquette de champ et son champ associé sont-ils accolés (hors cas particuliers) ?</t>
  </si>
  <si>
    <t>11.5</t>
  </si>
  <si>
    <t>Dans chaque formulaire, les champs de même nature sont-ils regroupés, si nécessaire ?</t>
  </si>
  <si>
    <t>11.6</t>
  </si>
  <si>
    <t>Dans chaque formulaire, chaque regroupement de champs de même nature a-t-il une légende ?</t>
  </si>
  <si>
    <t>11.7</t>
  </si>
  <si>
    <t>Dans chaque formulaire, chaque légende associée à un regroupement de champs de même nature est-elle pertinente ?</t>
  </si>
  <si>
    <t>11.8</t>
  </si>
  <si>
    <t>Dans chaque formulaire, les items de même nature d’une liste de choix sont-ils regroupées de manière pertinente ?</t>
  </si>
  <si>
    <t>11.9</t>
  </si>
  <si>
    <t>Dans chaque formulaire, l’intitulé de chaque bouton est-il pertinent (hors cas particuliers) ?</t>
  </si>
  <si>
    <t>11.10</t>
  </si>
  <si>
    <t>Dans chaque formulaire, le contrôle de saisie est-il utilisé de manière pertinente (hors cas particuliers) ?</t>
  </si>
  <si>
    <t>11.11</t>
  </si>
  <si>
    <t>Dans chaque formulaire, le contrôle de saisie est-il accompagné, si nécessaire, de suggestions facilitant la correction des erreurs de saisie ?</t>
  </si>
  <si>
    <t>11.12</t>
  </si>
  <si>
    <t>Pour chaque formulaire qui modifie ou supprime des données, ou qui transmet des réponses à un test ou à un examen, ou dont la validation a des conséquences financières ou juridiques, les données saisies peuvent-elles être modifiées, mises à jour ou récupérées par l’utilisateur ?</t>
  </si>
  <si>
    <t>11.13</t>
  </si>
  <si>
    <t>La finalité d’un champ de saisie peut-elle être déduite pour faciliter le remplissage automatique des champs avec les données de l’utilisateur ?</t>
  </si>
  <si>
    <t>NAVIGATION</t>
  </si>
  <si>
    <t>12.1</t>
  </si>
  <si>
    <t>Chaque ensemble de pages dispose-t-il de deux systèmes de navigation différents, au moins (hors cas particuliers) ?</t>
  </si>
  <si>
    <t>12.2</t>
  </si>
  <si>
    <t>Dans chaque ensemble de pages, le menu et les barres de navigation sont-ils toujours à la même place (hors cas particuliers) ?</t>
  </si>
  <si>
    <t>12.3</t>
  </si>
  <si>
    <t>La page « plan du site » est-elle pertinente ?</t>
  </si>
  <si>
    <t>12.4</t>
  </si>
  <si>
    <t>Dans chaque ensemble de pages, la page « plan du site » est-elle atteignable de manière identique ?</t>
  </si>
  <si>
    <t>12.5</t>
  </si>
  <si>
    <t>Dans chaque ensemble de pages, le moteur de recherche est-il atteignable de manière identique ?</t>
  </si>
  <si>
    <t>12.6</t>
  </si>
  <si>
    <t>Les zones de regroupement de contenus présentes dans plusieurs pages web (zones d’en-tête, de navigation principale, de contenu principal, de pied de page et de moteur de recherche) peuvent-elles être atteintes ou évitées ?</t>
  </si>
  <si>
    <t>12.7</t>
  </si>
  <si>
    <t>Dans chaque page web, un lien d’évitement ou d’accès rapide à la zone de contenu principal est-il présent (hors cas particuliers) ?</t>
  </si>
  <si>
    <t>12.8</t>
  </si>
  <si>
    <t>Dans chaque page web, l’ordre de tabulation est-il cohérent ?</t>
  </si>
  <si>
    <t>12.9</t>
  </si>
  <si>
    <t>Dans chaque page web, la navigation ne doit pas contenir de piège au clavier. Cette règle est-elle respectée ?</t>
  </si>
  <si>
    <t>12.10</t>
  </si>
  <si>
    <t>Dans chaque page web, les raccourcis clavier n’utilisant qu’une seule touche (lettre minuscule ou majuscule, ponctuation, chiffre ou symbole) sont-ils contrôlables par l’utilisateur ?</t>
  </si>
  <si>
    <t>12.11</t>
  </si>
  <si>
    <t>Dans chaque page web, les contenus additionnels apparaissant au survol, à la prise de focus ou à l’activation d’un composant d’interface sont-ils si nécessaire atteignables au clavier ?</t>
  </si>
  <si>
    <t>CONSULTATION</t>
  </si>
  <si>
    <t>13.1</t>
  </si>
  <si>
    <t>Pour chaque page web, l’utilisateur a-t-il le contrôle de chaque limite de temps modifiant le contenu (hors cas particuliers) ?</t>
  </si>
  <si>
    <t>13.2</t>
  </si>
  <si>
    <t>Dans chaque page web, l’ouverture d’une nouvelle fenêtre ne doit pas être déclenchée sans action de l’utilisateur. Cette règle est-elle respectée ?</t>
  </si>
  <si>
    <t>13.3</t>
  </si>
  <si>
    <t>Dans chaque page web, chaque document bureautique en téléchargement possède-t-il, si nécessaire, une version accessible (hors cas particuliers) ?</t>
  </si>
  <si>
    <t>13.4</t>
  </si>
  <si>
    <t>Pour chaque document bureautique ayant une version accessible, cette version offre-t-elle la même information ?</t>
  </si>
  <si>
    <t>13.5</t>
  </si>
  <si>
    <t>Dans chaque page web, chaque contenu cryptique (art ASCII, émoticon, syntaxe cryptique) a-t-il une alternative ?</t>
  </si>
  <si>
    <t>13.6</t>
  </si>
  <si>
    <t>Dans chaque page web, pour chaque contenu cryptique (art ASCII, émoticon, syntaxe cryptique) ayant une alternative, cette alternative est-elle pertinente ?</t>
  </si>
  <si>
    <t>13.7</t>
  </si>
  <si>
    <t>Dans chaque page web, les changements brusques de luminosité ou les effets de flash sont-ils correctement utilisés ?</t>
  </si>
  <si>
    <t>13.8</t>
  </si>
  <si>
    <t>Dans chaque page web, chaque contenu en mouvement ou clignotant est-il contrôlable par l’utilisateur ?</t>
  </si>
  <si>
    <t>13.9</t>
  </si>
  <si>
    <t>Dans chaque page web, le contenu proposé est-il consultable quelle que soit l’orientation de l’écran (portait ou paysage) (hors cas particuliers) ?</t>
  </si>
  <si>
    <t>C</t>
  </si>
  <si>
    <t>13.10</t>
  </si>
  <si>
    <t>Dans chaque page web, les fonctionnalités utilisables ou disponibles au moyen d’un geste complexe peuvent-elles être également disponibles au moyen d’un geste simple (hors cas particuliers) ?</t>
  </si>
  <si>
    <t>NC</t>
  </si>
  <si>
    <t>13.11</t>
  </si>
  <si>
    <t>Dans chaque page web, les actions déclenchées au moyen d’un dispositif de pointage sur un point unique de l’écran peuvent-elles faire l’objet d’une annulation (hors cas particuliers) ?</t>
  </si>
  <si>
    <t>13.12</t>
  </si>
  <si>
    <t>Dans chaque page web, les fonctionnalités qui impliquent un mouvement de l’appareil ou vers l’appareil peuvent-elles être satisfaites de manière alternative (hors cas particuliers) ?</t>
  </si>
  <si>
    <t>TOTAL C</t>
  </si>
  <si>
    <t>TOTAL NC</t>
  </si>
  <si>
    <t>TOTAL NA</t>
  </si>
  <si>
    <t xml:space="preserve">TAUX </t>
  </si>
  <si>
    <t>Statut</t>
  </si>
  <si>
    <t>NA</t>
  </si>
  <si>
    <t>TOTAL D</t>
  </si>
  <si>
    <t>N</t>
  </si>
  <si>
    <t>TAUX MOYEN</t>
  </si>
  <si>
    <t>Dérogation</t>
  </si>
  <si>
    <t>Modifications à apporter</t>
  </si>
  <si>
    <t>Commentaires en cas de dérogations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</si>
</sst>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25">
    <font>
      <sz val="12"/>
      <color rgb="FF000000"/>
      <name val="Liberation Sans1"/>
    </font>
    <font>
      <sz val="12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2"/>
      <color rgb="FFFFFFFF"/>
      <name val="Liberation Sans1"/>
    </font>
    <font>
      <b/>
      <sz val="12"/>
      <color rgb="FF808080"/>
      <name val="Liberation Sans1"/>
    </font>
    <font>
      <b/>
      <sz val="12"/>
      <color rgb="FF000000"/>
      <name val="Liberation Sans1"/>
    </font>
    <font>
      <b/>
      <sz val="8"/>
      <color rgb="FFFFFFFF"/>
      <name val="Liberation Sans1"/>
    </font>
    <font>
      <sz val="8"/>
      <color rgb="FF000000"/>
      <name val="Liberation Sans1"/>
    </font>
    <font>
      <b/>
      <sz val="8"/>
      <color rgb="FF000000"/>
      <name val="Liberation Sans1"/>
    </font>
    <font>
      <b/>
      <sz val="10"/>
      <color rgb="FFFFFFFF"/>
      <name val="Liberation Sans1"/>
    </font>
    <font>
      <u/>
      <sz val="10"/>
      <color rgb="FF0000D4"/>
      <name val="Arial"/>
      <family val="2"/>
    </font>
    <font>
      <i/>
      <sz val="10"/>
      <color rgb="FF808080"/>
      <name val="Liberation Sans1"/>
    </font>
    <font>
      <sz val="10"/>
      <color rgb="FF006600"/>
      <name val="Liberation Sans1"/>
    </font>
    <font>
      <b/>
      <i/>
      <sz val="16"/>
      <color rgb="FF000000"/>
      <name val="Liberation Sans1"/>
    </font>
    <font>
      <sz val="18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b/>
      <sz val="8"/>
      <color rgb="FF808080"/>
      <name val="Liberation Sans1"/>
    </font>
    <font>
      <sz val="10"/>
      <color rgb="FF333333"/>
      <name val="Liberation Sans1"/>
    </font>
    <font>
      <b/>
      <i/>
      <u/>
      <sz val="12"/>
      <color rgb="FF000000"/>
      <name val="Liberation Sans1"/>
    </font>
    <font>
      <b/>
      <sz val="11"/>
      <color rgb="FFFFFFFF"/>
      <name val="Liberation Sans1"/>
    </font>
    <font>
      <b/>
      <sz val="8"/>
      <color rgb="FFFFFFFF"/>
      <name val="Arial"/>
      <family val="2"/>
    </font>
    <font>
      <sz val="8"/>
      <color rgb="FF800000"/>
      <name val="Liberation Sans1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7838B"/>
        <bgColor rgb="FF07838B"/>
      </patternFill>
    </fill>
    <fill>
      <patternFill patternType="solid">
        <fgColor rgb="FFFFFFFF"/>
        <bgColor rgb="FFFFFFFF"/>
      </patternFill>
    </fill>
    <fill>
      <patternFill patternType="solid">
        <fgColor rgb="FFDE1B3E"/>
        <bgColor rgb="FFDE1B3E"/>
      </patternFill>
    </fill>
    <fill>
      <patternFill patternType="solid">
        <fgColor rgb="FFFFFFCC"/>
        <bgColor rgb="FFFFFFCC"/>
      </patternFill>
    </fill>
    <fill>
      <patternFill patternType="solid">
        <fgColor rgb="FFEEEEEE"/>
        <bgColor rgb="FFEEEEEE"/>
      </patternFill>
    </fill>
    <fill>
      <patternFill patternType="solid">
        <fgColor rgb="FF2D77D0"/>
        <bgColor rgb="FF2D77D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C81A71"/>
        <bgColor rgb="FFC81A71"/>
      </patternFill>
    </fill>
    <fill>
      <patternFill patternType="solid">
        <fgColor rgb="FF933C53"/>
        <bgColor rgb="FF933C53"/>
      </patternFill>
    </fill>
    <fill>
      <patternFill patternType="solid">
        <fgColor rgb="FFE8E8E8"/>
        <bgColor rgb="FFE8E8E8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0" fillId="9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49" fontId="5" fillId="6" borderId="0" applyBorder="0" applyProtection="0"/>
    <xf numFmtId="49" fontId="6" fillId="7" borderId="0" applyBorder="0" applyAlignment="0" applyProtection="0"/>
    <xf numFmtId="49" fontId="5" fillId="8" borderId="0" applyBorder="0" applyAlignment="0" applyProtection="0"/>
    <xf numFmtId="49" fontId="5" fillId="2" borderId="0" applyBorder="0" applyAlignment="0" applyProtection="0"/>
    <xf numFmtId="0" fontId="7" fillId="9" borderId="0" applyNumberFormat="0" applyBorder="0" applyProtection="0"/>
    <xf numFmtId="0" fontId="7" fillId="0" borderId="0" applyNumberFormat="0" applyBorder="0" applyProtection="0"/>
    <xf numFmtId="49" fontId="6" fillId="7" borderId="0" applyBorder="0" applyProtection="0"/>
    <xf numFmtId="49" fontId="5" fillId="8" borderId="0" applyBorder="0" applyProtection="0"/>
    <xf numFmtId="49" fontId="5" fillId="2" borderId="0" applyBorder="0" applyProtection="0"/>
    <xf numFmtId="49" fontId="5" fillId="6" borderId="0" applyBorder="0" applyAlignment="0" applyProtection="0"/>
    <xf numFmtId="0" fontId="7" fillId="9" borderId="0" applyNumberFormat="0" applyBorder="0" applyAlignment="0" applyProtection="0"/>
    <xf numFmtId="0" fontId="7" fillId="0" borderId="0" applyNumberFormat="0" applyBorder="0" applyAlignment="0" applyProtection="0"/>
    <xf numFmtId="49" fontId="8" fillId="6" borderId="0" applyBorder="0" applyProtection="0">
      <alignment horizontal="center" vertical="center"/>
    </xf>
    <xf numFmtId="0" fontId="9" fillId="10" borderId="0" applyNumberFormat="0" applyBorder="0" applyProtection="0"/>
    <xf numFmtId="0" fontId="10" fillId="9" borderId="0" applyNumberFormat="0" applyBorder="0" applyProtection="0">
      <alignment horizontal="center" vertical="center"/>
    </xf>
    <xf numFmtId="0" fontId="10" fillId="0" borderId="0" applyNumberFormat="0" applyBorder="0" applyProtection="0">
      <alignment horizontal="center" vertical="center"/>
    </xf>
    <xf numFmtId="0" fontId="8" fillId="11" borderId="0" applyNumberFormat="0" applyBorder="0" applyProtection="0"/>
    <xf numFmtId="0" fontId="11" fillId="12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13" borderId="0" applyNumberFormat="0" applyBorder="0" applyProtection="0"/>
    <xf numFmtId="0" fontId="15" fillId="0" borderId="0" applyNumberFormat="0" applyBorder="0" applyProtection="0">
      <alignment horizontal="center"/>
    </xf>
    <xf numFmtId="0" fontId="16" fillId="0" borderId="0" applyNumberFormat="0" applyBorder="0" applyProtection="0">
      <alignment horizontal="center"/>
    </xf>
    <xf numFmtId="0" fontId="1" fillId="0" borderId="0" applyNumberFormat="0" applyFont="0" applyBorder="0" applyProtection="0">
      <alignment horizontal="center"/>
    </xf>
    <xf numFmtId="0" fontId="15" fillId="0" borderId="0" applyNumberFormat="0" applyBorder="0" applyProtection="0">
      <alignment horizontal="center" textRotation="90"/>
    </xf>
    <xf numFmtId="0" fontId="17" fillId="0" borderId="0" applyNumberFormat="0" applyBorder="0" applyProtection="0"/>
    <xf numFmtId="0" fontId="18" fillId="9" borderId="0" applyNumberFormat="0" applyBorder="0" applyProtection="0"/>
    <xf numFmtId="49" fontId="19" fillId="7" borderId="0" applyBorder="0" applyProtection="0">
      <alignment horizontal="center" vertical="center"/>
    </xf>
    <xf numFmtId="49" fontId="8" fillId="8" borderId="0" applyBorder="0" applyProtection="0">
      <alignment horizontal="center" vertical="center"/>
    </xf>
    <xf numFmtId="49" fontId="8" fillId="2" borderId="0" applyBorder="0" applyProtection="0">
      <alignment horizontal="center" vertical="center"/>
    </xf>
    <xf numFmtId="0" fontId="21" fillId="0" borderId="0" applyNumberFormat="0" applyBorder="0" applyProtection="0"/>
    <xf numFmtId="164" fontId="21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22" fillId="14" borderId="0" applyNumberFormat="0" applyBorder="0" applyProtection="0">
      <alignment horizontal="center" vertical="center"/>
    </xf>
    <xf numFmtId="0" fontId="7" fillId="15" borderId="0" applyNumberFormat="0" applyBorder="0" applyProtection="0"/>
    <xf numFmtId="0" fontId="4" fillId="0" borderId="0" applyNumberFormat="0" applyBorder="0" applyProtection="0"/>
  </cellStyleXfs>
  <cellXfs count="52">
    <xf numFmtId="0" fontId="0" fillId="0" borderId="0" xfId="0"/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14" borderId="0" xfId="0" applyFill="1"/>
    <xf numFmtId="0" fontId="5" fillId="14" borderId="0" xfId="42" applyFont="1" applyFill="1" applyAlignment="1" applyProtection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11" borderId="2" xfId="24" applyFont="1" applyFill="1" applyBorder="1" applyAlignment="1" applyProtection="1">
      <alignment horizontal="center" vertical="center" textRotation="90" wrapText="1"/>
    </xf>
    <xf numFmtId="0" fontId="5" fillId="11" borderId="2" xfId="24" applyFont="1" applyFill="1" applyBorder="1" applyAlignment="1" applyProtection="1">
      <alignment horizontal="center" vertical="center" wrapText="1"/>
    </xf>
    <xf numFmtId="0" fontId="5" fillId="11" borderId="4" xfId="24" applyFont="1" applyFill="1" applyBorder="1" applyAlignment="1" applyProtection="1">
      <alignment horizontal="center" vertical="center" wrapText="1"/>
    </xf>
    <xf numFmtId="0" fontId="23" fillId="11" borderId="2" xfId="24" applyFont="1" applyFill="1" applyBorder="1" applyAlignment="1" applyProtection="1">
      <alignment horizontal="center" vertical="center" textRotation="90" wrapText="1"/>
    </xf>
    <xf numFmtId="0" fontId="1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10" fillId="16" borderId="2" xfId="0" applyFont="1" applyFill="1" applyBorder="1" applyAlignment="1">
      <alignment horizontal="center" vertical="center" wrapText="1"/>
    </xf>
    <xf numFmtId="0" fontId="0" fillId="16" borderId="5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16" borderId="0" xfId="0" applyFill="1"/>
    <xf numFmtId="0" fontId="7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 wrapText="1"/>
    </xf>
    <xf numFmtId="0" fontId="0" fillId="16" borderId="0" xfId="0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/>
    </xf>
    <xf numFmtId="9" fontId="7" fillId="0" borderId="2" xfId="1" applyFont="1" applyBorder="1" applyAlignment="1">
      <alignment horizontal="center" vertical="center"/>
    </xf>
    <xf numFmtId="0" fontId="5" fillId="14" borderId="3" xfId="42" applyFont="1" applyFill="1" applyBorder="1" applyAlignment="1" applyProtection="1">
      <alignment horizontal="center" vertical="center" wrapText="1"/>
    </xf>
    <xf numFmtId="0" fontId="23" fillId="11" borderId="2" xfId="24" applyFont="1" applyFill="1" applyBorder="1" applyAlignment="1" applyProtection="1">
      <alignment horizontal="center" vertical="center" textRotation="90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4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11" borderId="2" xfId="24" applyFont="1" applyFill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2" fillId="14" borderId="3" xfId="42" applyFont="1" applyFill="1" applyBorder="1" applyAlignment="1" applyProtection="1">
      <alignment horizontal="center" vertical="center"/>
    </xf>
  </cellXfs>
  <cellStyles count="45">
    <cellStyle name="Accent" xfId="3" xr:uid="{2875414F-130F-414A-A168-2373F73B3CFB}"/>
    <cellStyle name="Accent 1" xfId="4" xr:uid="{00A461BF-A44F-43CD-8C73-4909C02F2143}"/>
    <cellStyle name="Accent 2" xfId="5" xr:uid="{DA1BED0A-C032-48CD-8C1B-07460F7064CD}"/>
    <cellStyle name="Accent 3" xfId="6" xr:uid="{0628E25C-B8C3-48DF-9FBA-04307F64BA38}"/>
    <cellStyle name="Bad" xfId="7" xr:uid="{C7297E0D-ADEF-49CF-990F-5D598A34C2F5}"/>
    <cellStyle name="cf1" xfId="8" xr:uid="{4495A204-0E0F-4270-B45E-20F241243A1C}"/>
    <cellStyle name="cf10" xfId="9" xr:uid="{0DADA4D2-0628-4F3A-AAEB-2A648EE3C90E}"/>
    <cellStyle name="cf11" xfId="10" xr:uid="{2720DDB6-8363-49F3-BAA7-350BD8A047FC}"/>
    <cellStyle name="cf12" xfId="11" xr:uid="{E8E7A610-5A3A-4CC2-AF7C-49DA4540CDD5}"/>
    <cellStyle name="cf2" xfId="12" xr:uid="{F418E10B-3F23-462F-9B4B-F01552ED5A24}"/>
    <cellStyle name="cf3" xfId="13" xr:uid="{D146ED4A-EE3E-4585-AB04-7073A189B073}"/>
    <cellStyle name="cf4" xfId="14" xr:uid="{1C9ECAF3-7728-46E8-9270-BF6030184772}"/>
    <cellStyle name="cf5" xfId="15" xr:uid="{186644A3-139D-4DB0-94C5-31A9778B4FB3}"/>
    <cellStyle name="cf6" xfId="16" xr:uid="{3E074A49-ED60-4463-907C-44779F51DA52}"/>
    <cellStyle name="cf7" xfId="17" xr:uid="{CB35D759-015A-4758-882F-BBBEBC10A181}"/>
    <cellStyle name="cf8" xfId="18" xr:uid="{BD5539B3-1397-48D8-BC6D-997544EA0316}"/>
    <cellStyle name="cf9" xfId="19" xr:uid="{EC1EDB94-1264-4C56-9AFF-269F3F5A398D}"/>
    <cellStyle name="Conforme" xfId="20" xr:uid="{5A118C75-24E5-4819-A4AA-D54A407FC482}"/>
    <cellStyle name="Critère NA" xfId="21" xr:uid="{ADD371C4-E6E6-4884-8B8F-88C0D4A43803}"/>
    <cellStyle name="Dérogation" xfId="22" xr:uid="{3BF359C3-9418-4323-9D2B-B08124A9930F}"/>
    <cellStyle name="Dérogation-N" xfId="23" xr:uid="{1DB2F041-BC00-48E5-8E4B-2C201237A4B7}"/>
    <cellStyle name="Entête tableau" xfId="24" xr:uid="{14975BF3-45F2-4B29-9495-8E42FD16CD30}"/>
    <cellStyle name="Error" xfId="25" xr:uid="{371E91D6-21F3-4DA9-B77C-2E99BEC34E81}"/>
    <cellStyle name="Excel Built-in Hyperlink" xfId="26" xr:uid="{F6CE7495-CFE7-4BD7-BF20-AFC0EE1E8981}"/>
    <cellStyle name="Footnote" xfId="27" xr:uid="{D827EE18-EA6E-4FBB-9CA7-B49877F637DD}"/>
    <cellStyle name="Good" xfId="28" xr:uid="{53560C92-1112-41C9-98DC-E4FA9FDD9ADC}"/>
    <cellStyle name="Heading" xfId="29" xr:uid="{9F7C6B6A-93F3-46C9-9895-CA9AE66EF32F}"/>
    <cellStyle name="Heading 1" xfId="30" xr:uid="{7F5E732A-38F0-4FF5-BCEA-F854FA5A2601}"/>
    <cellStyle name="Heading 2" xfId="31" xr:uid="{63D954AA-F147-49E8-B571-F08B89F7CDD5}"/>
    <cellStyle name="Heading1" xfId="32" xr:uid="{499CFA43-CC3C-4E5A-83D5-4AB294CAFFA0}"/>
    <cellStyle name="Hyperlink" xfId="33" xr:uid="{0B9B419E-1113-4341-A5F6-608A35D1B65E}"/>
    <cellStyle name="Neutral" xfId="34" xr:uid="{BC55E937-DCFC-4AF8-9D71-7EB3500D49B5}"/>
    <cellStyle name="Non applicable" xfId="35" xr:uid="{B9A45955-1F3B-4908-BC2B-ED95EFBBB491}"/>
    <cellStyle name="Non conforme" xfId="36" xr:uid="{61B67960-EA1F-4EC0-AC4E-A51D67091CB0}"/>
    <cellStyle name="Non testé" xfId="37" xr:uid="{CC0B066F-1D4C-4B41-B596-849358930E0E}"/>
    <cellStyle name="Normal" xfId="0" builtinId="0" customBuiltin="1"/>
    <cellStyle name="Note" xfId="2" builtinId="10" customBuiltin="1"/>
    <cellStyle name="Pourcentage" xfId="1" builtinId="5" customBuiltin="1"/>
    <cellStyle name="Result" xfId="38" xr:uid="{5829E5CF-14C0-447D-9D47-FCB779FBC5AB}"/>
    <cellStyle name="Result2" xfId="39" xr:uid="{75F1C70E-B558-4D1E-8C01-CF66FB4C33D4}"/>
    <cellStyle name="Status" xfId="40" xr:uid="{550E095C-7A6B-4335-8BA3-E0D3A56E2C44}"/>
    <cellStyle name="Text" xfId="41" xr:uid="{C9DF7961-822B-4FFF-A7DB-D9DA40717E42}"/>
    <cellStyle name="Titre tableau" xfId="42" xr:uid="{9C639CB2-2BAE-4746-B968-7259E56E0CFE}"/>
    <cellStyle name="TitreViolet" xfId="43" xr:uid="{0DD84DF3-2A40-4E60-BEAF-A997AC0466D9}"/>
    <cellStyle name="Warning" xfId="44" xr:uid="{B5056E6C-0307-4AE3-B7C1-7B5CB6527E4A}"/>
  </cellStyles>
  <dxfs count="12">
    <dxf>
      <font>
        <b/>
        <color rgb="FFFFFFFF"/>
      </font>
      <numFmt numFmtId="30" formatCode="@"/>
      <fill>
        <patternFill patternType="solid">
          <fgColor rgb="FF000000"/>
          <bgColor rgb="FF000000"/>
        </patternFill>
      </fill>
    </dxf>
    <dxf>
      <font>
        <b/>
        <color rgb="FFFFFFFF"/>
      </font>
      <numFmt numFmtId="30" formatCode="@"/>
      <fill>
        <patternFill patternType="solid">
          <fgColor rgb="FFDE1B3E"/>
          <bgColor rgb="FFDE1B3E"/>
        </patternFill>
      </fill>
    </dxf>
    <dxf>
      <font>
        <b/>
        <color rgb="FF808080"/>
      </font>
      <numFmt numFmtId="30" formatCode="@"/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solid">
          <fgColor rgb="FFFFFFCC"/>
          <bgColor rgb="FFFFFFCC"/>
        </patternFill>
      </fill>
    </dxf>
    <dxf>
      <font>
        <b/>
        <color rgb="FFFFFFFF"/>
      </font>
      <numFmt numFmtId="30" formatCode="@"/>
      <fill>
        <patternFill patternType="solid">
          <fgColor rgb="FF07838B"/>
          <bgColor rgb="FF07838B"/>
        </patternFill>
      </fill>
    </dxf>
    <dxf>
      <font>
        <b/>
        <color rgb="FFFFFFFF"/>
      </font>
      <numFmt numFmtId="30" formatCode="@"/>
      <fill>
        <patternFill patternType="solid">
          <fgColor rgb="FF000000"/>
          <bgColor rgb="FF000000"/>
        </patternFill>
      </fill>
    </dxf>
    <dxf>
      <font>
        <b/>
        <color rgb="FF808080"/>
      </font>
      <numFmt numFmtId="30" formatCode="@"/>
      <fill>
        <patternFill patternType="solid">
          <fgColor rgb="FFFFFFFF"/>
          <bgColor rgb="FFFFFFFF"/>
        </patternFill>
      </fill>
    </dxf>
    <dxf>
      <font>
        <b/>
        <color rgb="FFFFFFFF"/>
      </font>
      <numFmt numFmtId="30" formatCode="@"/>
      <fill>
        <patternFill patternType="solid">
          <fgColor rgb="FFDE1B3E"/>
          <bgColor rgb="FFDE1B3E"/>
        </patternFill>
      </fill>
    </dxf>
    <dxf>
      <font>
        <b/>
        <color rgb="FFFFFFFF"/>
      </font>
      <numFmt numFmtId="30" formatCode="@"/>
      <fill>
        <patternFill patternType="solid">
          <fgColor rgb="FF07838B"/>
          <bgColor rgb="FF07838B"/>
        </patternFill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DC606-2345-40AC-A838-4DA1C3F3DD96}" name="__Anonymous_Sheet_DB__4" displayName="__Anonymous_Sheet_DB__4" ref="AC3:AZ120" headerRowCount="0" totalsRowShown="0">
  <sortState xmlns:xlrd2="http://schemas.microsoft.com/office/spreadsheetml/2017/richdata2" ref="AC3:AZ120">
    <sortCondition ref="AC3:AC120"/>
    <sortCondition ref="AF3:AF120"/>
    <sortCondition ref="AD3:AD120"/>
  </sortState>
  <tableColumns count="24">
    <tableColumn id="1" xr3:uid="{519E2915-E47D-4261-86DC-642301BD67E9}" name="Colonne1"/>
    <tableColumn id="2" xr3:uid="{58780048-EE0F-4439-88DD-4213B4CED762}" name="Colonne2"/>
    <tableColumn id="3" xr3:uid="{A9C2594E-4CE2-4582-BD72-05F6034C61C9}" name="Colonne3"/>
    <tableColumn id="4" xr3:uid="{128C0D8A-CB74-4ED5-A408-9E47855C1A53}" name="Colonne4"/>
    <tableColumn id="5" xr3:uid="{7C724012-A20C-4A5A-AADF-B943DBD7DACE}" name="Colonne5"/>
    <tableColumn id="6" xr3:uid="{652F35B3-FD34-47A1-B7BC-300F7BD08352}" name="Colonne6"/>
    <tableColumn id="7" xr3:uid="{0FA45184-2E52-458C-8FD2-589D6D44DEDC}" name="Colonne7"/>
    <tableColumn id="8" xr3:uid="{B134D66F-6654-4A36-9024-EE47B92A7809}" name="Colonne8"/>
    <tableColumn id="9" xr3:uid="{F5DEE292-4D5C-432E-86E6-AFD7A5CD8D97}" name="Colonne9"/>
    <tableColumn id="10" xr3:uid="{A6AB99B0-8E5C-46B7-B90E-337D0DD25D46}" name="Colonne10"/>
    <tableColumn id="11" xr3:uid="{827BEA2C-A917-4C2A-B1D4-5DF5DC648D02}" name="Colonne11"/>
    <tableColumn id="12" xr3:uid="{30468AF6-0FAC-4FD6-8567-84D9F4F0D991}" name="Colonne12"/>
    <tableColumn id="13" xr3:uid="{AE2A43EA-F159-4660-976D-CDF6842001FF}" name="Colonne13"/>
    <tableColumn id="14" xr3:uid="{1AEFF93C-BE5F-4E23-A30C-E6FC437D0332}" name="Colonne14"/>
    <tableColumn id="15" xr3:uid="{A2429581-7236-4C5C-93EA-D2E714872DCC}" name="Colonne15"/>
    <tableColumn id="16" xr3:uid="{A4966284-B78E-486A-B37B-5DD62720742F}" name="Colonne16"/>
    <tableColumn id="17" xr3:uid="{0BD187D3-A948-433B-8FFA-40F884AFABC1}" name="Colonne17"/>
    <tableColumn id="18" xr3:uid="{75459FCE-E14B-4C7A-A640-713D1FA92D97}" name="Colonne18"/>
    <tableColumn id="19" xr3:uid="{2549769E-3FCD-475C-818C-9979538465E8}" name="Colonne19"/>
    <tableColumn id="20" xr3:uid="{E0C13105-B898-4677-9BBD-29EC665A3AFD}" name="Colonne20"/>
    <tableColumn id="21" xr3:uid="{C1EEA16B-57A2-4CB8-85CA-B12A6B8BCDD8}" name="Colonne21"/>
    <tableColumn id="22" xr3:uid="{8129CAE3-9BD9-4BBF-BBBF-7547F7D023A9}" name="Colonne22"/>
    <tableColumn id="23" xr3:uid="{C161B2D0-36FF-4AB8-800C-12C1AB4396B0}" name="Colonne23"/>
    <tableColumn id="24" xr3:uid="{BDC28098-C4DC-40E4-A2B4-57CEF2EFFE5A}" name="Colonne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AF9A-49FD-4A3E-B3EE-587E35363A28}">
  <dimension ref="A1:BJ125"/>
  <sheetViews>
    <sheetView tabSelected="1" topLeftCell="A17" workbookViewId="0">
      <selection activeCell="E120" sqref="E120"/>
    </sheetView>
  </sheetViews>
  <sheetFormatPr baseColWidth="10" defaultRowHeight="15.5"/>
  <cols>
    <col min="1" max="1" width="4.4609375" customWidth="1"/>
    <col min="2" max="2" width="4.4609375" style="23" customWidth="1"/>
    <col min="3" max="3" width="64.61328125" style="6" customWidth="1"/>
    <col min="4" max="4" width="19.3828125" style="6" customWidth="1"/>
    <col min="5" max="62" width="9.765625" style="6" customWidth="1"/>
    <col min="63" max="63" width="11.07421875" customWidth="1"/>
  </cols>
  <sheetData>
    <row r="1" spans="1:4" ht="15.5" customHeight="1">
      <c r="A1" s="28" t="e">
        <f>#REF!</f>
        <v>#REF!</v>
      </c>
      <c r="B1" s="28"/>
      <c r="C1" s="28"/>
      <c r="D1" s="28"/>
    </row>
    <row r="2" spans="1:4" ht="55.75" customHeight="1">
      <c r="A2" s="7" t="s">
        <v>20</v>
      </c>
      <c r="B2" s="7" t="s">
        <v>21</v>
      </c>
      <c r="C2" s="8" t="s">
        <v>22</v>
      </c>
      <c r="D2" s="9" t="s">
        <v>23</v>
      </c>
    </row>
    <row r="3" spans="1:4">
      <c r="A3" s="29" t="s">
        <v>24</v>
      </c>
      <c r="B3" s="11" t="s">
        <v>25</v>
      </c>
      <c r="C3" s="12" t="s">
        <v>26</v>
      </c>
      <c r="D3" s="13" t="str">
        <f>'P01'!$D4</f>
        <v>NT</v>
      </c>
    </row>
    <row r="4" spans="1:4" ht="31">
      <c r="A4" s="29"/>
      <c r="B4" s="11" t="s">
        <v>28</v>
      </c>
      <c r="C4" s="12" t="s">
        <v>29</v>
      </c>
      <c r="D4" s="13" t="str">
        <f>'P01'!$D5</f>
        <v>NT</v>
      </c>
    </row>
    <row r="5" spans="1:4" ht="31">
      <c r="A5" s="29"/>
      <c r="B5" s="11" t="s">
        <v>30</v>
      </c>
      <c r="C5" s="12" t="s">
        <v>31</v>
      </c>
      <c r="D5" s="13" t="str">
        <f>'P01'!$D6</f>
        <v>NT</v>
      </c>
    </row>
    <row r="6" spans="1:4" ht="46.5">
      <c r="A6" s="29"/>
      <c r="B6" s="11" t="s">
        <v>32</v>
      </c>
      <c r="C6" s="12" t="s">
        <v>33</v>
      </c>
      <c r="D6" s="13" t="str">
        <f>'P01'!$D7</f>
        <v>NT</v>
      </c>
    </row>
    <row r="7" spans="1:4" ht="31">
      <c r="A7" s="29"/>
      <c r="B7" s="11" t="s">
        <v>34</v>
      </c>
      <c r="C7" s="12" t="s">
        <v>35</v>
      </c>
      <c r="D7" s="13" t="str">
        <f>'P01'!$D8</f>
        <v>NT</v>
      </c>
    </row>
    <row r="8" spans="1:4" ht="31">
      <c r="A8" s="29"/>
      <c r="B8" s="11" t="s">
        <v>36</v>
      </c>
      <c r="C8" s="12" t="s">
        <v>37</v>
      </c>
      <c r="D8" s="13" t="str">
        <f>'P01'!$D9</f>
        <v>NT</v>
      </c>
    </row>
    <row r="9" spans="1:4" ht="31">
      <c r="A9" s="29"/>
      <c r="B9" s="11" t="s">
        <v>38</v>
      </c>
      <c r="C9" s="12" t="s">
        <v>39</v>
      </c>
      <c r="D9" s="13" t="str">
        <f>'P01'!$D10</f>
        <v>NT</v>
      </c>
    </row>
    <row r="10" spans="1:4" ht="46.5">
      <c r="A10" s="29"/>
      <c r="B10" s="11" t="s">
        <v>40</v>
      </c>
      <c r="C10" s="12" t="s">
        <v>41</v>
      </c>
      <c r="D10" s="13" t="str">
        <f>'P01'!$D11</f>
        <v>NT</v>
      </c>
    </row>
    <row r="11" spans="1:4" ht="31">
      <c r="A11" s="29"/>
      <c r="B11" s="11" t="s">
        <v>42</v>
      </c>
      <c r="C11" s="12" t="s">
        <v>43</v>
      </c>
      <c r="D11" s="13" t="str">
        <f>'P01'!$D12</f>
        <v>NT</v>
      </c>
    </row>
    <row r="12" spans="1:4">
      <c r="A12" s="10"/>
      <c r="B12" s="14"/>
      <c r="C12" s="15"/>
      <c r="D12" s="16"/>
    </row>
    <row r="13" spans="1:4" ht="24.75" customHeight="1">
      <c r="A13" s="29" t="s">
        <v>44</v>
      </c>
      <c r="B13" s="17" t="s">
        <v>45</v>
      </c>
      <c r="C13" s="18" t="s">
        <v>46</v>
      </c>
      <c r="D13" s="13" t="str">
        <f>'P01'!$D13</f>
        <v>NT</v>
      </c>
    </row>
    <row r="14" spans="1:4" ht="24.75" customHeight="1">
      <c r="A14" s="29"/>
      <c r="B14" s="17" t="s">
        <v>47</v>
      </c>
      <c r="C14" s="18" t="s">
        <v>48</v>
      </c>
      <c r="D14" s="13" t="str">
        <f>'P01'!$D14</f>
        <v>NT</v>
      </c>
    </row>
    <row r="15" spans="1:4" ht="24.75" customHeight="1">
      <c r="A15" s="10"/>
      <c r="B15" s="14"/>
      <c r="C15" s="15"/>
      <c r="D15" s="16"/>
    </row>
    <row r="16" spans="1:4" ht="31">
      <c r="A16" s="29" t="s">
        <v>49</v>
      </c>
      <c r="B16" s="11" t="s">
        <v>50</v>
      </c>
      <c r="C16" s="12" t="s">
        <v>51</v>
      </c>
      <c r="D16" s="13" t="str">
        <f>'P01'!$D15</f>
        <v>NT</v>
      </c>
    </row>
    <row r="17" spans="1:4" ht="31">
      <c r="A17" s="29"/>
      <c r="B17" s="11" t="s">
        <v>52</v>
      </c>
      <c r="C17" s="12" t="s">
        <v>53</v>
      </c>
      <c r="D17" s="13" t="str">
        <f>'P01'!$D16</f>
        <v>NT</v>
      </c>
    </row>
    <row r="18" spans="1:4" ht="46.5">
      <c r="A18" s="29"/>
      <c r="B18" s="11" t="s">
        <v>54</v>
      </c>
      <c r="C18" s="12" t="s">
        <v>55</v>
      </c>
      <c r="D18" s="13" t="str">
        <f>'P01'!$D17</f>
        <v>NT</v>
      </c>
    </row>
    <row r="19" spans="1:4">
      <c r="A19" s="10"/>
      <c r="B19" s="14"/>
      <c r="C19" s="15"/>
      <c r="D19" s="16"/>
    </row>
    <row r="20" spans="1:4" ht="31">
      <c r="A20" s="29" t="s">
        <v>56</v>
      </c>
      <c r="B20" s="17" t="s">
        <v>57</v>
      </c>
      <c r="C20" s="18" t="s">
        <v>58</v>
      </c>
      <c r="D20" s="13" t="str">
        <f>'P01'!$D18</f>
        <v>NT</v>
      </c>
    </row>
    <row r="21" spans="1:4" ht="46.5">
      <c r="A21" s="29"/>
      <c r="B21" s="17" t="s">
        <v>59</v>
      </c>
      <c r="C21" s="18" t="s">
        <v>60</v>
      </c>
      <c r="D21" s="13" t="str">
        <f>'P01'!$D19</f>
        <v>NT</v>
      </c>
    </row>
    <row r="22" spans="1:4" ht="31">
      <c r="A22" s="29"/>
      <c r="B22" s="17" t="s">
        <v>61</v>
      </c>
      <c r="C22" s="18" t="s">
        <v>62</v>
      </c>
      <c r="D22" s="13" t="str">
        <f>'P01'!$D20</f>
        <v>NT</v>
      </c>
    </row>
    <row r="23" spans="1:4" ht="31">
      <c r="A23" s="29"/>
      <c r="B23" s="17" t="s">
        <v>63</v>
      </c>
      <c r="C23" s="18" t="s">
        <v>64</v>
      </c>
      <c r="D23" s="13" t="str">
        <f>'P01'!$D21</f>
        <v>NT</v>
      </c>
    </row>
    <row r="24" spans="1:4" ht="31">
      <c r="A24" s="29"/>
      <c r="B24" s="17" t="s">
        <v>65</v>
      </c>
      <c r="C24" s="18" t="s">
        <v>66</v>
      </c>
      <c r="D24" s="13" t="str">
        <f>'P01'!$D22</f>
        <v>NT</v>
      </c>
    </row>
    <row r="25" spans="1:4" ht="31">
      <c r="A25" s="29"/>
      <c r="B25" s="17" t="s">
        <v>67</v>
      </c>
      <c r="C25" s="18" t="s">
        <v>68</v>
      </c>
      <c r="D25" s="13" t="str">
        <f>'P01'!$D23</f>
        <v>NT</v>
      </c>
    </row>
    <row r="26" spans="1:4">
      <c r="A26" s="29"/>
      <c r="B26" s="17" t="s">
        <v>69</v>
      </c>
      <c r="C26" s="18" t="s">
        <v>70</v>
      </c>
      <c r="D26" s="13" t="str">
        <f>'P01'!$D24</f>
        <v>NT</v>
      </c>
    </row>
    <row r="27" spans="1:4" ht="31">
      <c r="A27" s="29"/>
      <c r="B27" s="17" t="s">
        <v>71</v>
      </c>
      <c r="C27" s="18" t="s">
        <v>72</v>
      </c>
      <c r="D27" s="13" t="str">
        <f>'P01'!$D25</f>
        <v>NT</v>
      </c>
    </row>
    <row r="28" spans="1:4" ht="31">
      <c r="A28" s="29"/>
      <c r="B28" s="17" t="s">
        <v>73</v>
      </c>
      <c r="C28" s="18" t="s">
        <v>74</v>
      </c>
      <c r="D28" s="13" t="str">
        <f>'P01'!$D26</f>
        <v>NT</v>
      </c>
    </row>
    <row r="29" spans="1:4">
      <c r="A29" s="29"/>
      <c r="B29" s="17" t="s">
        <v>75</v>
      </c>
      <c r="C29" s="18" t="s">
        <v>76</v>
      </c>
      <c r="D29" s="13" t="str">
        <f>'P01'!$D27</f>
        <v>NT</v>
      </c>
    </row>
    <row r="30" spans="1:4" ht="31">
      <c r="A30" s="29"/>
      <c r="B30" s="17" t="s">
        <v>77</v>
      </c>
      <c r="C30" s="18" t="s">
        <v>78</v>
      </c>
      <c r="D30" s="13" t="str">
        <f>'P01'!$D28</f>
        <v>NT</v>
      </c>
    </row>
    <row r="31" spans="1:4" ht="31">
      <c r="A31" s="29"/>
      <c r="B31" s="17" t="s">
        <v>79</v>
      </c>
      <c r="C31" s="18" t="s">
        <v>80</v>
      </c>
      <c r="D31" s="13" t="str">
        <f>'P01'!$D29</f>
        <v>NT</v>
      </c>
    </row>
    <row r="32" spans="1:4" ht="31">
      <c r="A32" s="29"/>
      <c r="B32" s="17" t="s">
        <v>81</v>
      </c>
      <c r="C32" s="18" t="s">
        <v>82</v>
      </c>
      <c r="D32" s="13" t="str">
        <f>'P01'!$D30</f>
        <v>NT</v>
      </c>
    </row>
    <row r="33" spans="1:4">
      <c r="A33" s="10"/>
      <c r="B33" s="14"/>
      <c r="C33" s="15"/>
      <c r="D33" s="16"/>
    </row>
    <row r="34" spans="1:4">
      <c r="A34" s="29" t="s">
        <v>83</v>
      </c>
      <c r="B34" s="11" t="s">
        <v>84</v>
      </c>
      <c r="C34" s="12" t="s">
        <v>85</v>
      </c>
      <c r="D34" s="13" t="str">
        <f>'P01'!$D31</f>
        <v>NT</v>
      </c>
    </row>
    <row r="35" spans="1:4" ht="31">
      <c r="A35" s="29"/>
      <c r="B35" s="11" t="s">
        <v>86</v>
      </c>
      <c r="C35" s="12" t="s">
        <v>87</v>
      </c>
      <c r="D35" s="13" t="str">
        <f>'P01'!$D32</f>
        <v>NT</v>
      </c>
    </row>
    <row r="36" spans="1:4" ht="31">
      <c r="A36" s="29"/>
      <c r="B36" s="11" t="s">
        <v>88</v>
      </c>
      <c r="C36" s="12" t="s">
        <v>89</v>
      </c>
      <c r="D36" s="13" t="str">
        <f>'P01'!$D33</f>
        <v>NT</v>
      </c>
    </row>
    <row r="37" spans="1:4" ht="31">
      <c r="A37" s="29"/>
      <c r="B37" s="11" t="s">
        <v>90</v>
      </c>
      <c r="C37" s="12" t="s">
        <v>91</v>
      </c>
      <c r="D37" s="13" t="str">
        <f>'P01'!$D34</f>
        <v>NT</v>
      </c>
    </row>
    <row r="38" spans="1:4">
      <c r="A38" s="29"/>
      <c r="B38" s="11" t="s">
        <v>92</v>
      </c>
      <c r="C38" s="12" t="s">
        <v>93</v>
      </c>
      <c r="D38" s="13" t="str">
        <f>'P01'!$D35</f>
        <v>NT</v>
      </c>
    </row>
    <row r="39" spans="1:4" ht="31">
      <c r="A39" s="29"/>
      <c r="B39" s="11" t="s">
        <v>94</v>
      </c>
      <c r="C39" s="12" t="s">
        <v>95</v>
      </c>
      <c r="D39" s="13" t="str">
        <f>'P01'!$D36</f>
        <v>NT</v>
      </c>
    </row>
    <row r="40" spans="1:4" ht="46.5">
      <c r="A40" s="29"/>
      <c r="B40" s="11" t="s">
        <v>96</v>
      </c>
      <c r="C40" s="12" t="s">
        <v>97</v>
      </c>
      <c r="D40" s="13" t="str">
        <f>'P01'!$D37</f>
        <v>NT</v>
      </c>
    </row>
    <row r="41" spans="1:4" ht="31">
      <c r="A41" s="29"/>
      <c r="B41" s="11" t="s">
        <v>98</v>
      </c>
      <c r="C41" s="12" t="s">
        <v>99</v>
      </c>
      <c r="D41" s="13" t="str">
        <f>'P01'!$D38</f>
        <v>NT</v>
      </c>
    </row>
    <row r="42" spans="1:4">
      <c r="A42" s="10"/>
      <c r="B42" s="14"/>
      <c r="C42" s="15"/>
      <c r="D42" s="16"/>
    </row>
    <row r="43" spans="1:4">
      <c r="A43" s="29" t="s">
        <v>100</v>
      </c>
      <c r="B43" s="17" t="s">
        <v>101</v>
      </c>
      <c r="C43" s="18" t="s">
        <v>102</v>
      </c>
      <c r="D43" s="13" t="str">
        <f>'P01'!$D39</f>
        <v>NT</v>
      </c>
    </row>
    <row r="44" spans="1:4">
      <c r="A44" s="29"/>
      <c r="B44" s="17" t="s">
        <v>103</v>
      </c>
      <c r="C44" s="18" t="s">
        <v>104</v>
      </c>
      <c r="D44" s="13" t="str">
        <f>'P01'!$D40</f>
        <v>NT</v>
      </c>
    </row>
    <row r="45" spans="1:4">
      <c r="A45" s="10"/>
      <c r="B45" s="14"/>
      <c r="C45" s="15"/>
      <c r="D45" s="16"/>
    </row>
    <row r="46" spans="1:4" ht="31">
      <c r="A46" s="29" t="s">
        <v>105</v>
      </c>
      <c r="B46" s="11" t="s">
        <v>106</v>
      </c>
      <c r="C46" s="12" t="s">
        <v>107</v>
      </c>
      <c r="D46" s="13" t="str">
        <f>'P01'!$D41</f>
        <v>NT</v>
      </c>
    </row>
    <row r="47" spans="1:4" ht="31">
      <c r="A47" s="29"/>
      <c r="B47" s="11" t="s">
        <v>108</v>
      </c>
      <c r="C47" s="12" t="s">
        <v>109</v>
      </c>
      <c r="D47" s="13" t="str">
        <f>'P01'!$D42</f>
        <v>NT</v>
      </c>
    </row>
    <row r="48" spans="1:4" ht="31">
      <c r="A48" s="29"/>
      <c r="B48" s="11" t="s">
        <v>110</v>
      </c>
      <c r="C48" s="12" t="s">
        <v>111</v>
      </c>
      <c r="D48" s="13" t="str">
        <f>'P01'!$D43</f>
        <v>NT</v>
      </c>
    </row>
    <row r="49" spans="1:4" ht="31">
      <c r="A49" s="29"/>
      <c r="B49" s="11" t="s">
        <v>112</v>
      </c>
      <c r="C49" s="12" t="s">
        <v>113</v>
      </c>
      <c r="D49" s="13" t="str">
        <f>'P01'!$D44</f>
        <v>NT</v>
      </c>
    </row>
    <row r="50" spans="1:4" ht="31">
      <c r="A50" s="29"/>
      <c r="B50" s="11" t="s">
        <v>114</v>
      </c>
      <c r="C50" s="12" t="s">
        <v>115</v>
      </c>
      <c r="D50" s="13" t="str">
        <f>'P01'!$D45</f>
        <v>NT</v>
      </c>
    </row>
    <row r="51" spans="1:4">
      <c r="A51" s="10"/>
      <c r="B51" s="14"/>
      <c r="C51" s="15"/>
      <c r="D51" s="16"/>
    </row>
    <row r="52" spans="1:4">
      <c r="A52" s="29" t="s">
        <v>116</v>
      </c>
      <c r="B52" s="17" t="s">
        <v>117</v>
      </c>
      <c r="C52" s="18" t="s">
        <v>118</v>
      </c>
      <c r="D52" s="13" t="str">
        <f>'P01'!$D46</f>
        <v>NT</v>
      </c>
    </row>
    <row r="53" spans="1:4" ht="31">
      <c r="A53" s="29"/>
      <c r="B53" s="17" t="s">
        <v>119</v>
      </c>
      <c r="C53" s="18" t="s">
        <v>120</v>
      </c>
      <c r="D53" s="13" t="str">
        <f>'P01'!$D47</f>
        <v>NT</v>
      </c>
    </row>
    <row r="54" spans="1:4">
      <c r="A54" s="29"/>
      <c r="B54" s="17" t="s">
        <v>121</v>
      </c>
      <c r="C54" s="18" t="s">
        <v>122</v>
      </c>
      <c r="D54" s="13" t="str">
        <f>'P01'!$D48</f>
        <v>NT</v>
      </c>
    </row>
    <row r="55" spans="1:4" ht="31">
      <c r="A55" s="29"/>
      <c r="B55" s="17" t="s">
        <v>123</v>
      </c>
      <c r="C55" s="18" t="s">
        <v>124</v>
      </c>
      <c r="D55" s="13" t="str">
        <f>'P01'!$D49</f>
        <v>NT</v>
      </c>
    </row>
    <row r="56" spans="1:4">
      <c r="A56" s="29"/>
      <c r="B56" s="17" t="s">
        <v>125</v>
      </c>
      <c r="C56" s="18" t="s">
        <v>126</v>
      </c>
      <c r="D56" s="13" t="str">
        <f>'P01'!$D50</f>
        <v>NT</v>
      </c>
    </row>
    <row r="57" spans="1:4">
      <c r="A57" s="29"/>
      <c r="B57" s="17" t="s">
        <v>127</v>
      </c>
      <c r="C57" s="18" t="s">
        <v>128</v>
      </c>
      <c r="D57" s="13" t="str">
        <f>'P01'!$D51</f>
        <v>NT</v>
      </c>
    </row>
    <row r="58" spans="1:4" ht="31">
      <c r="A58" s="29"/>
      <c r="B58" s="17" t="s">
        <v>129</v>
      </c>
      <c r="C58" s="18" t="s">
        <v>130</v>
      </c>
      <c r="D58" s="13" t="str">
        <f>'P01'!$D52</f>
        <v>NT</v>
      </c>
    </row>
    <row r="59" spans="1:4" ht="31">
      <c r="A59" s="29"/>
      <c r="B59" s="17" t="s">
        <v>131</v>
      </c>
      <c r="C59" s="18" t="s">
        <v>132</v>
      </c>
      <c r="D59" s="13" t="str">
        <f>'P01'!$D53</f>
        <v>NT</v>
      </c>
    </row>
    <row r="60" spans="1:4" ht="31">
      <c r="A60" s="29"/>
      <c r="B60" s="17" t="s">
        <v>133</v>
      </c>
      <c r="C60" s="18" t="s">
        <v>134</v>
      </c>
      <c r="D60" s="13" t="str">
        <f>'P01'!$D54</f>
        <v>NT</v>
      </c>
    </row>
    <row r="61" spans="1:4" ht="31">
      <c r="A61" s="29"/>
      <c r="B61" s="17" t="s">
        <v>135</v>
      </c>
      <c r="C61" s="18" t="s">
        <v>136</v>
      </c>
      <c r="D61" s="13" t="str">
        <f>'P01'!$D55</f>
        <v>NT</v>
      </c>
    </row>
    <row r="62" spans="1:4">
      <c r="A62" s="10"/>
      <c r="B62" s="14"/>
      <c r="C62" s="15"/>
      <c r="D62" s="16"/>
    </row>
    <row r="63" spans="1:4" ht="31">
      <c r="A63" s="29" t="s">
        <v>137</v>
      </c>
      <c r="B63" s="11" t="s">
        <v>138</v>
      </c>
      <c r="C63" s="12" t="s">
        <v>139</v>
      </c>
      <c r="D63" s="13" t="str">
        <f>'P01'!$D56</f>
        <v>NT</v>
      </c>
    </row>
    <row r="64" spans="1:4" ht="31">
      <c r="A64" s="29"/>
      <c r="B64" s="11" t="s">
        <v>140</v>
      </c>
      <c r="C64" s="12" t="s">
        <v>141</v>
      </c>
      <c r="D64" s="13" t="str">
        <f>'P01'!$D57</f>
        <v>NT</v>
      </c>
    </row>
    <row r="65" spans="1:4">
      <c r="A65" s="29"/>
      <c r="B65" s="11" t="s">
        <v>142</v>
      </c>
      <c r="C65" s="12" t="s">
        <v>143</v>
      </c>
      <c r="D65" s="13" t="str">
        <f>'P01'!$D58</f>
        <v>NT</v>
      </c>
    </row>
    <row r="66" spans="1:4">
      <c r="A66" s="29"/>
      <c r="B66" s="11" t="s">
        <v>144</v>
      </c>
      <c r="C66" s="12" t="s">
        <v>145</v>
      </c>
      <c r="D66" s="13" t="str">
        <f>'P01'!$D59</f>
        <v>NT</v>
      </c>
    </row>
    <row r="67" spans="1:4">
      <c r="A67" s="10"/>
      <c r="B67" s="14"/>
      <c r="C67" s="15"/>
      <c r="D67" s="16"/>
    </row>
    <row r="68" spans="1:4" ht="31">
      <c r="A68" s="29" t="s">
        <v>146</v>
      </c>
      <c r="B68" s="17" t="s">
        <v>147</v>
      </c>
      <c r="C68" s="18" t="s">
        <v>148</v>
      </c>
      <c r="D68" s="13" t="str">
        <f>'P01'!$D60</f>
        <v>NT</v>
      </c>
    </row>
    <row r="69" spans="1:4" ht="31">
      <c r="A69" s="29"/>
      <c r="B69" s="17" t="s">
        <v>149</v>
      </c>
      <c r="C69" s="18" t="s">
        <v>150</v>
      </c>
      <c r="D69" s="13" t="str">
        <f>'P01'!$D61</f>
        <v>NT</v>
      </c>
    </row>
    <row r="70" spans="1:4" ht="31">
      <c r="A70" s="29"/>
      <c r="B70" s="17" t="s">
        <v>151</v>
      </c>
      <c r="C70" s="18" t="s">
        <v>152</v>
      </c>
      <c r="D70" s="13" t="str">
        <f>'P01'!$D62</f>
        <v>NT</v>
      </c>
    </row>
    <row r="71" spans="1:4" ht="31">
      <c r="A71" s="29"/>
      <c r="B71" s="17" t="s">
        <v>153</v>
      </c>
      <c r="C71" s="18" t="s">
        <v>154</v>
      </c>
      <c r="D71" s="13" t="str">
        <f>'P01'!$D63</f>
        <v>NT</v>
      </c>
    </row>
    <row r="72" spans="1:4" ht="31">
      <c r="A72" s="29"/>
      <c r="B72" s="17" t="s">
        <v>155</v>
      </c>
      <c r="C72" s="18" t="s">
        <v>156</v>
      </c>
      <c r="D72" s="13" t="str">
        <f>'P01'!$D64</f>
        <v>NT</v>
      </c>
    </row>
    <row r="73" spans="1:4" ht="31">
      <c r="A73" s="29"/>
      <c r="B73" s="17" t="s">
        <v>157</v>
      </c>
      <c r="C73" s="18" t="s">
        <v>158</v>
      </c>
      <c r="D73" s="13" t="str">
        <f>'P01'!$D65</f>
        <v>NT</v>
      </c>
    </row>
    <row r="74" spans="1:4" ht="31">
      <c r="A74" s="29"/>
      <c r="B74" s="17" t="s">
        <v>159</v>
      </c>
      <c r="C74" s="18" t="s">
        <v>160</v>
      </c>
      <c r="D74" s="13" t="str">
        <f>'P01'!$D66</f>
        <v>NT</v>
      </c>
    </row>
    <row r="75" spans="1:4" ht="31">
      <c r="A75" s="29"/>
      <c r="B75" s="17" t="s">
        <v>161</v>
      </c>
      <c r="C75" s="18" t="s">
        <v>162</v>
      </c>
      <c r="D75" s="13" t="str">
        <f>'P01'!$D67</f>
        <v>NT</v>
      </c>
    </row>
    <row r="76" spans="1:4" ht="31">
      <c r="A76" s="29"/>
      <c r="B76" s="17" t="s">
        <v>163</v>
      </c>
      <c r="C76" s="18" t="s">
        <v>164</v>
      </c>
      <c r="D76" s="13" t="str">
        <f>'P01'!$D68</f>
        <v>NT</v>
      </c>
    </row>
    <row r="77" spans="1:4" ht="46.5">
      <c r="A77" s="29"/>
      <c r="B77" s="17" t="s">
        <v>165</v>
      </c>
      <c r="C77" s="18" t="s">
        <v>166</v>
      </c>
      <c r="D77" s="13" t="str">
        <f>'P01'!$D69</f>
        <v>NT</v>
      </c>
    </row>
    <row r="78" spans="1:4" ht="77.5">
      <c r="A78" s="29"/>
      <c r="B78" s="17" t="s">
        <v>167</v>
      </c>
      <c r="C78" s="18" t="s">
        <v>168</v>
      </c>
      <c r="D78" s="13" t="str">
        <f>'P01'!$D70</f>
        <v>NT</v>
      </c>
    </row>
    <row r="79" spans="1:4" ht="46.5">
      <c r="A79" s="29"/>
      <c r="B79" s="17" t="s">
        <v>169</v>
      </c>
      <c r="C79" s="18" t="s">
        <v>170</v>
      </c>
      <c r="D79" s="13" t="str">
        <f>'P01'!$D71</f>
        <v>NT</v>
      </c>
    </row>
    <row r="80" spans="1:4" ht="46.5">
      <c r="A80" s="29"/>
      <c r="B80" s="17" t="s">
        <v>171</v>
      </c>
      <c r="C80" s="18" t="s">
        <v>172</v>
      </c>
      <c r="D80" s="13" t="str">
        <f>'P01'!$D72</f>
        <v>NT</v>
      </c>
    </row>
    <row r="81" spans="1:4" ht="46.5">
      <c r="A81" s="29"/>
      <c r="B81" s="17" t="s">
        <v>173</v>
      </c>
      <c r="C81" s="18" t="s">
        <v>174</v>
      </c>
      <c r="D81" s="13" t="str">
        <f>'P01'!$D73</f>
        <v>NT</v>
      </c>
    </row>
    <row r="82" spans="1:4">
      <c r="A82" s="10"/>
      <c r="B82" s="14"/>
      <c r="C82" s="15"/>
      <c r="D82" s="16"/>
    </row>
    <row r="83" spans="1:4">
      <c r="A83" s="29" t="s">
        <v>175</v>
      </c>
      <c r="B83" s="11" t="s">
        <v>176</v>
      </c>
      <c r="C83" s="12" t="s">
        <v>177</v>
      </c>
      <c r="D83" s="13" t="str">
        <f>'P01'!$D74</f>
        <v>NT</v>
      </c>
    </row>
    <row r="84" spans="1:4" ht="31">
      <c r="A84" s="29"/>
      <c r="B84" s="11" t="s">
        <v>178</v>
      </c>
      <c r="C84" s="12" t="s">
        <v>179</v>
      </c>
      <c r="D84" s="13" t="str">
        <f>'P01'!$D75</f>
        <v>NT</v>
      </c>
    </row>
    <row r="85" spans="1:4" ht="46.5">
      <c r="A85" s="29"/>
      <c r="B85" s="11" t="s">
        <v>180</v>
      </c>
      <c r="C85" s="12" t="s">
        <v>181</v>
      </c>
      <c r="D85" s="13" t="str">
        <f>'P01'!$D76</f>
        <v>NT</v>
      </c>
    </row>
    <row r="86" spans="1:4" ht="31">
      <c r="A86" s="29"/>
      <c r="B86" s="11" t="s">
        <v>182</v>
      </c>
      <c r="C86" s="12" t="s">
        <v>183</v>
      </c>
      <c r="D86" s="13" t="str">
        <f>'P01'!$D77</f>
        <v>NT</v>
      </c>
    </row>
    <row r="87" spans="1:4" ht="31">
      <c r="A87" s="29"/>
      <c r="B87" s="11" t="s">
        <v>184</v>
      </c>
      <c r="C87" s="12" t="s">
        <v>185</v>
      </c>
      <c r="D87" s="13" t="str">
        <f>'P01'!$D78</f>
        <v>NT</v>
      </c>
    </row>
    <row r="88" spans="1:4" ht="31">
      <c r="A88" s="29"/>
      <c r="B88" s="11" t="s">
        <v>186</v>
      </c>
      <c r="C88" s="12" t="s">
        <v>187</v>
      </c>
      <c r="D88" s="13" t="str">
        <f>'P01'!$D79</f>
        <v>NT</v>
      </c>
    </row>
    <row r="89" spans="1:4" ht="31">
      <c r="A89" s="29"/>
      <c r="B89" s="11" t="s">
        <v>188</v>
      </c>
      <c r="C89" s="12" t="s">
        <v>189</v>
      </c>
      <c r="D89" s="13" t="str">
        <f>'P01'!$D80</f>
        <v>NT</v>
      </c>
    </row>
    <row r="90" spans="1:4" ht="31">
      <c r="A90" s="29"/>
      <c r="B90" s="11" t="s">
        <v>190</v>
      </c>
      <c r="C90" s="12" t="s">
        <v>191</v>
      </c>
      <c r="D90" s="13" t="str">
        <f>'P01'!$D81</f>
        <v>NT</v>
      </c>
    </row>
    <row r="91" spans="1:4" ht="31">
      <c r="A91" s="29"/>
      <c r="B91" s="11" t="s">
        <v>192</v>
      </c>
      <c r="C91" s="12" t="s">
        <v>193</v>
      </c>
      <c r="D91" s="13" t="str">
        <f>'P01'!$D82</f>
        <v>NT</v>
      </c>
    </row>
    <row r="92" spans="1:4" ht="31">
      <c r="A92" s="29"/>
      <c r="B92" s="11" t="s">
        <v>194</v>
      </c>
      <c r="C92" s="12" t="s">
        <v>195</v>
      </c>
      <c r="D92" s="13" t="str">
        <f>'P01'!$D83</f>
        <v>NT</v>
      </c>
    </row>
    <row r="93" spans="1:4" ht="31">
      <c r="A93" s="29"/>
      <c r="B93" s="11" t="s">
        <v>196</v>
      </c>
      <c r="C93" s="12" t="s">
        <v>197</v>
      </c>
      <c r="D93" s="13" t="str">
        <f>'P01'!$D84</f>
        <v>NT</v>
      </c>
    </row>
    <row r="94" spans="1:4" ht="62">
      <c r="A94" s="29"/>
      <c r="B94" s="11" t="s">
        <v>198</v>
      </c>
      <c r="C94" s="12" t="s">
        <v>199</v>
      </c>
      <c r="D94" s="13" t="str">
        <f>'P01'!$D85</f>
        <v>NT</v>
      </c>
    </row>
    <row r="95" spans="1:4" ht="31">
      <c r="A95" s="29"/>
      <c r="B95" s="11" t="s">
        <v>200</v>
      </c>
      <c r="C95" s="12" t="s">
        <v>201</v>
      </c>
      <c r="D95" s="13" t="str">
        <f>'P01'!$D86</f>
        <v>NT</v>
      </c>
    </row>
    <row r="96" spans="1:4">
      <c r="A96" s="10"/>
      <c r="B96" s="14"/>
      <c r="C96" s="15"/>
      <c r="D96" s="16"/>
    </row>
    <row r="97" spans="1:4" ht="31">
      <c r="A97" s="29" t="s">
        <v>202</v>
      </c>
      <c r="B97" s="17" t="s">
        <v>203</v>
      </c>
      <c r="C97" s="18" t="s">
        <v>204</v>
      </c>
      <c r="D97" s="13" t="str">
        <f>'P01'!$D87</f>
        <v>NT</v>
      </c>
    </row>
    <row r="98" spans="1:4" ht="31">
      <c r="A98" s="29"/>
      <c r="B98" s="17" t="s">
        <v>205</v>
      </c>
      <c r="C98" s="18" t="s">
        <v>206</v>
      </c>
      <c r="D98" s="13" t="str">
        <f>'P01'!$D88</f>
        <v>NT</v>
      </c>
    </row>
    <row r="99" spans="1:4">
      <c r="A99" s="29"/>
      <c r="B99" s="17" t="s">
        <v>207</v>
      </c>
      <c r="C99" s="18" t="s">
        <v>208</v>
      </c>
      <c r="D99" s="13" t="str">
        <f>'P01'!$D89</f>
        <v>NT</v>
      </c>
    </row>
    <row r="100" spans="1:4" ht="31">
      <c r="A100" s="29"/>
      <c r="B100" s="17" t="s">
        <v>209</v>
      </c>
      <c r="C100" s="18" t="s">
        <v>210</v>
      </c>
      <c r="D100" s="13" t="str">
        <f>'P01'!$D90</f>
        <v>NT</v>
      </c>
    </row>
    <row r="101" spans="1:4" ht="31">
      <c r="A101" s="29"/>
      <c r="B101" s="17" t="s">
        <v>211</v>
      </c>
      <c r="C101" s="18" t="s">
        <v>212</v>
      </c>
      <c r="D101" s="13" t="str">
        <f>'P01'!$D91</f>
        <v>NT</v>
      </c>
    </row>
    <row r="102" spans="1:4" ht="46.5">
      <c r="A102" s="29"/>
      <c r="B102" s="17" t="s">
        <v>213</v>
      </c>
      <c r="C102" s="18" t="s">
        <v>214</v>
      </c>
      <c r="D102" s="13" t="str">
        <f>'P01'!$D92</f>
        <v>NT</v>
      </c>
    </row>
    <row r="103" spans="1:4" ht="31">
      <c r="A103" s="29"/>
      <c r="B103" s="17" t="s">
        <v>215</v>
      </c>
      <c r="C103" s="18" t="s">
        <v>216</v>
      </c>
      <c r="D103" s="13" t="str">
        <f>'P01'!$D93</f>
        <v>NT</v>
      </c>
    </row>
    <row r="104" spans="1:4">
      <c r="A104" s="29"/>
      <c r="B104" s="17" t="s">
        <v>217</v>
      </c>
      <c r="C104" s="18" t="s">
        <v>218</v>
      </c>
      <c r="D104" s="13" t="str">
        <f>'P01'!$D94</f>
        <v>NT</v>
      </c>
    </row>
    <row r="105" spans="1:4" ht="31">
      <c r="A105" s="29"/>
      <c r="B105" s="17" t="s">
        <v>219</v>
      </c>
      <c r="C105" s="18" t="s">
        <v>220</v>
      </c>
      <c r="D105" s="13" t="str">
        <f>'P01'!$D95</f>
        <v>NT</v>
      </c>
    </row>
    <row r="106" spans="1:4" ht="46.5">
      <c r="A106" s="29"/>
      <c r="B106" s="17" t="s">
        <v>221</v>
      </c>
      <c r="C106" s="18" t="s">
        <v>222</v>
      </c>
      <c r="D106" s="13" t="str">
        <f>'P01'!$D96</f>
        <v>NT</v>
      </c>
    </row>
    <row r="107" spans="1:4" ht="46.5">
      <c r="A107" s="29"/>
      <c r="B107" s="17" t="s">
        <v>223</v>
      </c>
      <c r="C107" s="18" t="s">
        <v>224</v>
      </c>
      <c r="D107" s="13" t="str">
        <f>'P01'!$D97</f>
        <v>NT</v>
      </c>
    </row>
    <row r="108" spans="1:4">
      <c r="A108" s="10"/>
      <c r="B108" s="14"/>
      <c r="C108" s="15"/>
      <c r="D108" s="16"/>
    </row>
    <row r="109" spans="1:4" ht="31">
      <c r="A109" s="29" t="s">
        <v>225</v>
      </c>
      <c r="B109" s="11" t="s">
        <v>226</v>
      </c>
      <c r="C109" s="12" t="s">
        <v>227</v>
      </c>
      <c r="D109" s="13" t="str">
        <f>'P01'!$D98</f>
        <v>NT</v>
      </c>
    </row>
    <row r="110" spans="1:4" ht="31">
      <c r="A110" s="29"/>
      <c r="B110" s="11" t="s">
        <v>228</v>
      </c>
      <c r="C110" s="12" t="s">
        <v>229</v>
      </c>
      <c r="D110" s="13" t="str">
        <f>'P01'!$D99</f>
        <v>NT</v>
      </c>
    </row>
    <row r="111" spans="1:4" ht="31">
      <c r="A111" s="29"/>
      <c r="B111" s="11" t="s">
        <v>230</v>
      </c>
      <c r="C111" s="12" t="s">
        <v>231</v>
      </c>
      <c r="D111" s="13" t="str">
        <f>'P01'!$D100</f>
        <v>NT</v>
      </c>
    </row>
    <row r="112" spans="1:4" ht="31">
      <c r="A112" s="29"/>
      <c r="B112" s="11" t="s">
        <v>232</v>
      </c>
      <c r="C112" s="12" t="s">
        <v>233</v>
      </c>
      <c r="D112" s="13" t="str">
        <f>'P01'!$D101</f>
        <v>NT</v>
      </c>
    </row>
    <row r="113" spans="1:4" ht="31">
      <c r="A113" s="29"/>
      <c r="B113" s="11" t="s">
        <v>234</v>
      </c>
      <c r="C113" s="12" t="s">
        <v>235</v>
      </c>
      <c r="D113" s="13" t="str">
        <f>'P01'!$D102</f>
        <v>NT</v>
      </c>
    </row>
    <row r="114" spans="1:4" ht="46.5">
      <c r="A114" s="29"/>
      <c r="B114" s="11" t="s">
        <v>236</v>
      </c>
      <c r="C114" s="12" t="s">
        <v>237</v>
      </c>
      <c r="D114" s="13" t="str">
        <f>'P01'!$D103</f>
        <v>NT</v>
      </c>
    </row>
    <row r="115" spans="1:4" ht="31">
      <c r="A115" s="29"/>
      <c r="B115" s="11" t="s">
        <v>238</v>
      </c>
      <c r="C115" s="12" t="s">
        <v>239</v>
      </c>
      <c r="D115" s="13" t="str">
        <f>'P01'!$D104</f>
        <v>NT</v>
      </c>
    </row>
    <row r="116" spans="1:4" ht="31">
      <c r="A116" s="29"/>
      <c r="B116" s="11" t="s">
        <v>240</v>
      </c>
      <c r="C116" s="12" t="s">
        <v>241</v>
      </c>
      <c r="D116" s="13" t="str">
        <f>'P01'!$D105</f>
        <v>NT</v>
      </c>
    </row>
    <row r="117" spans="1:4" ht="31">
      <c r="A117" s="29"/>
      <c r="B117" s="11" t="s">
        <v>242</v>
      </c>
      <c r="C117" s="12" t="s">
        <v>243</v>
      </c>
      <c r="D117" s="13" t="str">
        <f>'P01'!$D106</f>
        <v>NT</v>
      </c>
    </row>
    <row r="118" spans="1:4" ht="46.5">
      <c r="A118" s="29"/>
      <c r="B118" s="11" t="s">
        <v>245</v>
      </c>
      <c r="C118" s="12" t="s">
        <v>246</v>
      </c>
      <c r="D118" s="13" t="str">
        <f>'P01'!$D107</f>
        <v>NT</v>
      </c>
    </row>
    <row r="119" spans="1:4" ht="46.5">
      <c r="A119" s="29"/>
      <c r="B119" s="11" t="s">
        <v>248</v>
      </c>
      <c r="C119" s="12" t="s">
        <v>249</v>
      </c>
      <c r="D119" s="13" t="str">
        <f>'P01'!$D108</f>
        <v>NT</v>
      </c>
    </row>
    <row r="120" spans="1:4" ht="46.5">
      <c r="A120" s="29"/>
      <c r="B120" s="11" t="s">
        <v>250</v>
      </c>
      <c r="C120" s="12" t="s">
        <v>251</v>
      </c>
      <c r="D120" s="13" t="str">
        <f>'P01'!$D109</f>
        <v>NT</v>
      </c>
    </row>
    <row r="121" spans="1:4">
      <c r="A121" s="19"/>
      <c r="B121" s="20"/>
      <c r="C121" s="21"/>
      <c r="D121" s="22"/>
    </row>
    <row r="122" spans="1:4">
      <c r="C122" s="24" t="s">
        <v>252</v>
      </c>
      <c r="D122" s="25">
        <f>SUM(COUNTIF(D3:D11,"C"),COUNTIF(D13:D14,"C"),COUNTIF(D16:D18,"C"),COUNTIF(D20:D32,"C"),COUNTIF(D34:D41,"C"),COUNTIF(D43:D44,"C"),COUNTIF(D46:D50,"C"),COUNTIF(D52:D61,"C"),COUNTIF(D63:D66,"C"),COUNTIF(D68:D81,"C"),COUNTIF(D83:D95,"C"),COUNTIF(D97:D107,"C"),COUNTIF(D109:D120,"C"))</f>
        <v>0</v>
      </c>
    </row>
    <row r="123" spans="1:4">
      <c r="C123" s="24" t="s">
        <v>253</v>
      </c>
      <c r="D123" s="25">
        <f>SUM(COUNTIF(D3:D11,"NC"),COUNTIF(D13:D14,"NC"),COUNTIF(D16:D18,"NC"),COUNTIF(D20:D32,"NC"),COUNTIF(D34:D41,"NC"),COUNTIF(D43:D44,"NC"),COUNTIF(D46:D50,"NC"),COUNTIF(D52:D61,"NC"),COUNTIF(D63:D66,"NC"),COUNTIF(D68:D81,"NC"),COUNTIF(D83:D95,"NC"),COUNTIF(D97:D107,"NC"),COUNTIF(D109:D120,"NC"))</f>
        <v>0</v>
      </c>
    </row>
    <row r="124" spans="1:4">
      <c r="C124" s="24" t="s">
        <v>254</v>
      </c>
      <c r="D124" s="25">
        <f>SUM(COUNTIF(D3:D11,"NA"),COUNTIF(D13:D14,"NA"),COUNTIF(D16:D18,"NA"),COUNTIF(D20:D32,"NA"),COUNTIF(D34:D41,"NA"),COUNTIF(D43:D44,"NA"),COUNTIF(D46:D50,"NA"),COUNTIF(D52:D61,"NA"),COUNTIF(D63:D66,"NA"),COUNTIF(D68:D81,"NA"),COUNTIF(D83:D95,"NA"),COUNTIF(D97:D107,"NA"),COUNTIF(D109:D120,"NA"))</f>
        <v>0</v>
      </c>
    </row>
    <row r="125" spans="1:4">
      <c r="C125" s="26" t="s">
        <v>255</v>
      </c>
      <c r="D125" s="27" t="str">
        <f>IF(AND(D122=0,D123=0),"NA",D122/(D122+D123))</f>
        <v>NA</v>
      </c>
    </row>
  </sheetData>
  <mergeCells count="14">
    <mergeCell ref="A97:A107"/>
    <mergeCell ref="A109:A120"/>
    <mergeCell ref="A43:A44"/>
    <mergeCell ref="A46:A50"/>
    <mergeCell ref="A52:A61"/>
    <mergeCell ref="A63:A66"/>
    <mergeCell ref="A68:A81"/>
    <mergeCell ref="A83:A95"/>
    <mergeCell ref="A1:D1"/>
    <mergeCell ref="A3:A11"/>
    <mergeCell ref="A13:A14"/>
    <mergeCell ref="A16:A18"/>
    <mergeCell ref="A20:A32"/>
    <mergeCell ref="A34:A41"/>
  </mergeCells>
  <pageMargins left="0.39370078740157505" right="0.39370078740157505" top="0.78740157480315009" bottom="0.59015748031496107" header="0.39370078740157505" footer="0.39370078740157505"/>
  <pageSetup paperSize="0" scale="74" fitToWidth="0" fitToHeight="0" pageOrder="overThenDown" orientation="portrait" useFirstPageNumber="1" horizontalDpi="0" verticalDpi="0" copies="0"/>
  <headerFooter alignWithMargins="0">
    <oddHeader>&amp;LRGAA 3.0 - Relevé pour le site : wwww.site.fr&amp;R&amp;P/&amp;N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C9A1-AB26-48A5-8432-AA478DB1116F}">
  <dimension ref="A1:BL125"/>
  <sheetViews>
    <sheetView workbookViewId="0">
      <selection sqref="A1:D1"/>
    </sheetView>
  </sheetViews>
  <sheetFormatPr baseColWidth="10" defaultRowHeight="15"/>
  <cols>
    <col min="1" max="1" width="3.4609375" customWidth="1"/>
    <col min="2" max="2" width="5.3828125" customWidth="1"/>
    <col min="3" max="3" width="14.53515625" customWidth="1"/>
    <col min="4" max="18" width="5.61328125" style="30" customWidth="1"/>
    <col min="19" max="23" width="5.61328125" customWidth="1"/>
    <col min="24" max="27" width="5.15234375" style="40" customWidth="1"/>
    <col min="28" max="28" width="9.765625" customWidth="1"/>
    <col min="29" max="30" width="5.3828125" customWidth="1"/>
    <col min="31" max="31" width="14.53515625" customWidth="1"/>
    <col min="32" max="46" width="5.61328125" style="30" customWidth="1"/>
    <col min="47" max="51" width="5.61328125" customWidth="1"/>
    <col min="52" max="52" width="7.4609375" style="40" customWidth="1"/>
    <col min="53" max="64" width="9.765625" customWidth="1"/>
    <col min="65" max="65" width="11.07421875" customWidth="1"/>
  </cols>
  <sheetData>
    <row r="1" spans="1:64" ht="15.5">
      <c r="D1" s="31" t="s">
        <v>0</v>
      </c>
      <c r="E1" s="31" t="s">
        <v>1</v>
      </c>
      <c r="F1" s="31" t="s">
        <v>2</v>
      </c>
      <c r="G1" s="31" t="s">
        <v>3</v>
      </c>
      <c r="H1" s="31" t="s">
        <v>4</v>
      </c>
      <c r="I1" s="31" t="s">
        <v>5</v>
      </c>
      <c r="J1" s="31" t="s">
        <v>6</v>
      </c>
      <c r="K1" s="31" t="s">
        <v>7</v>
      </c>
      <c r="L1" s="31" t="s">
        <v>8</v>
      </c>
      <c r="M1" s="31" t="s">
        <v>9</v>
      </c>
      <c r="N1" s="31" t="s">
        <v>10</v>
      </c>
      <c r="O1" s="31" t="s">
        <v>11</v>
      </c>
      <c r="P1" s="31" t="s">
        <v>12</v>
      </c>
      <c r="Q1" s="31" t="s">
        <v>13</v>
      </c>
      <c r="R1" s="31" t="s">
        <v>14</v>
      </c>
      <c r="S1" s="31" t="s">
        <v>15</v>
      </c>
      <c r="T1" s="31" t="s">
        <v>16</v>
      </c>
      <c r="U1" s="31" t="s">
        <v>17</v>
      </c>
      <c r="V1" s="31" t="s">
        <v>18</v>
      </c>
      <c r="W1" s="31" t="s">
        <v>19</v>
      </c>
      <c r="X1" s="32" t="s">
        <v>244</v>
      </c>
      <c r="Y1" s="32" t="s">
        <v>247</v>
      </c>
      <c r="Z1" s="32" t="s">
        <v>257</v>
      </c>
      <c r="AA1" s="32" t="s">
        <v>27</v>
      </c>
      <c r="AF1" s="31" t="s">
        <v>0</v>
      </c>
      <c r="AG1" s="31" t="s">
        <v>1</v>
      </c>
      <c r="AH1" s="31" t="s">
        <v>2</v>
      </c>
      <c r="AI1" s="31" t="s">
        <v>3</v>
      </c>
      <c r="AJ1" s="31" t="s">
        <v>4</v>
      </c>
      <c r="AK1" s="31" t="s">
        <v>5</v>
      </c>
      <c r="AL1" s="31" t="s">
        <v>6</v>
      </c>
      <c r="AM1" s="31" t="s">
        <v>7</v>
      </c>
      <c r="AN1" s="31" t="s">
        <v>8</v>
      </c>
      <c r="AO1" s="31" t="s">
        <v>9</v>
      </c>
      <c r="AP1" s="31" t="s">
        <v>10</v>
      </c>
      <c r="AQ1" s="31" t="s">
        <v>11</v>
      </c>
      <c r="AR1" s="31" t="s">
        <v>12</v>
      </c>
      <c r="AS1" s="31" t="s">
        <v>13</v>
      </c>
      <c r="AT1" s="31" t="s">
        <v>14</v>
      </c>
      <c r="AU1" s="31" t="s">
        <v>15</v>
      </c>
      <c r="AV1" s="31" t="s">
        <v>16</v>
      </c>
      <c r="AW1" s="31" t="s">
        <v>17</v>
      </c>
      <c r="AX1" s="31" t="s">
        <v>18</v>
      </c>
      <c r="AY1" s="31" t="s">
        <v>19</v>
      </c>
      <c r="AZ1" s="32" t="s">
        <v>258</v>
      </c>
    </row>
    <row r="2" spans="1:64" ht="15.5">
      <c r="A2" s="2"/>
      <c r="B2" s="2"/>
      <c r="C2" s="2"/>
      <c r="D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  <c r="Y2" s="34"/>
      <c r="Z2" s="34"/>
      <c r="AA2" s="34"/>
      <c r="AC2" s="2"/>
      <c r="AD2" s="2"/>
      <c r="AE2" s="2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4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5.5">
      <c r="A3">
        <v>1</v>
      </c>
      <c r="B3" s="30" t="str">
        <f>Critères!$B3</f>
        <v>1.1</v>
      </c>
      <c r="C3" s="30" t="str">
        <f>Critères!$A3</f>
        <v>IMAGES</v>
      </c>
      <c r="D3" s="30" t="str">
        <f>'P01'!$D4</f>
        <v>NT</v>
      </c>
      <c r="E3" s="30" t="e">
        <f>#REF!</f>
        <v>#REF!</v>
      </c>
      <c r="F3" s="30" t="e">
        <f>#REF!</f>
        <v>#REF!</v>
      </c>
      <c r="G3" s="30" t="e">
        <f>#REF!</f>
        <v>#REF!</v>
      </c>
      <c r="H3" s="30" t="e">
        <f>#REF!</f>
        <v>#REF!</v>
      </c>
      <c r="I3" s="30" t="e">
        <f>#REF!</f>
        <v>#REF!</v>
      </c>
      <c r="J3" s="30" t="e">
        <f>#REF!</f>
        <v>#REF!</v>
      </c>
      <c r="K3" s="30" t="e">
        <f>#REF!</f>
        <v>#REF!</v>
      </c>
      <c r="L3" s="30" t="e">
        <f>#REF!</f>
        <v>#REF!</v>
      </c>
      <c r="M3" s="30" t="e">
        <f>#REF!</f>
        <v>#REF!</v>
      </c>
      <c r="N3" s="30" t="e">
        <f>#REF!</f>
        <v>#REF!</v>
      </c>
      <c r="O3" s="30" t="e">
        <f>#REF!</f>
        <v>#REF!</v>
      </c>
      <c r="P3" s="30" t="e">
        <f>#REF!</f>
        <v>#REF!</v>
      </c>
      <c r="Q3" s="30" t="e">
        <f>#REF!</f>
        <v>#REF!</v>
      </c>
      <c r="R3" s="30" t="e">
        <f>#REF!</f>
        <v>#REF!</v>
      </c>
      <c r="S3" s="30" t="e">
        <f>#REF!</f>
        <v>#REF!</v>
      </c>
      <c r="T3" s="30" t="e">
        <f>#REF!</f>
        <v>#REF!</v>
      </c>
      <c r="U3" s="30" t="e">
        <f>#REF!</f>
        <v>#REF!</v>
      </c>
      <c r="V3" s="30" t="e">
        <f>#REF!</f>
        <v>#REF!</v>
      </c>
      <c r="W3" s="30" t="e">
        <f>#REF!</f>
        <v>#REF!</v>
      </c>
      <c r="X3" s="32">
        <f t="shared" ref="X3:X11" si="0">COUNTIF(D3:W3,"C")</f>
        <v>0</v>
      </c>
      <c r="Y3" s="32">
        <f t="shared" ref="Y3:Y11" si="1">COUNTIF(D3:W3,"NC")</f>
        <v>0</v>
      </c>
      <c r="Z3" s="32">
        <f t="shared" ref="Z3:Z11" si="2">COUNTIF(D3:W3,"NA")</f>
        <v>0</v>
      </c>
      <c r="AA3" s="32">
        <f t="shared" ref="AA3:AA11" si="3">COUNTIF(D3:W3,"NT")</f>
        <v>1</v>
      </c>
      <c r="AB3" t="str">
        <f t="shared" ref="AB3:AB11" si="4">IF(Y3&gt;0,"NC",IF(X3&gt;0,"C",IF(AA3&gt;0,"NT","NA")))</f>
        <v>NT</v>
      </c>
      <c r="AC3">
        <v>1</v>
      </c>
      <c r="AD3" s="30" t="str">
        <f>Critères!$B3</f>
        <v>1.1</v>
      </c>
      <c r="AE3" s="30" t="str">
        <f>Critères!$A3</f>
        <v>IMAGES</v>
      </c>
      <c r="AF3" s="30" t="str">
        <f>'P01'!$E4</f>
        <v>N</v>
      </c>
      <c r="AG3" s="30" t="e">
        <f>#REF!</f>
        <v>#REF!</v>
      </c>
      <c r="AH3" s="30" t="e">
        <f>#REF!</f>
        <v>#REF!</v>
      </c>
      <c r="AI3" s="30" t="e">
        <f>#REF!</f>
        <v>#REF!</v>
      </c>
      <c r="AJ3" s="30" t="e">
        <f>#REF!</f>
        <v>#REF!</v>
      </c>
      <c r="AK3" s="30" t="e">
        <f>#REF!</f>
        <v>#REF!</v>
      </c>
      <c r="AL3" s="30" t="e">
        <f>#REF!</f>
        <v>#REF!</v>
      </c>
      <c r="AM3" s="30" t="e">
        <f>#REF!</f>
        <v>#REF!</v>
      </c>
      <c r="AN3" s="30" t="e">
        <f>#REF!</f>
        <v>#REF!</v>
      </c>
      <c r="AO3" s="30" t="e">
        <f>#REF!</f>
        <v>#REF!</v>
      </c>
      <c r="AP3" s="30" t="e">
        <f>#REF!</f>
        <v>#REF!</v>
      </c>
      <c r="AQ3" s="30" t="e">
        <f>#REF!</f>
        <v>#REF!</v>
      </c>
      <c r="AR3" s="30" t="e">
        <f>#REF!</f>
        <v>#REF!</v>
      </c>
      <c r="AS3" s="30" t="e">
        <f>#REF!</f>
        <v>#REF!</v>
      </c>
      <c r="AT3" s="30" t="e">
        <f>#REF!</f>
        <v>#REF!</v>
      </c>
      <c r="AU3" s="30" t="e">
        <f>#REF!</f>
        <v>#REF!</v>
      </c>
      <c r="AV3" s="30" t="e">
        <f>#REF!</f>
        <v>#REF!</v>
      </c>
      <c r="AW3" s="30" t="e">
        <f>#REF!</f>
        <v>#REF!</v>
      </c>
      <c r="AX3" s="30" t="e">
        <f>#REF!</f>
        <v>#REF!</v>
      </c>
      <c r="AY3" s="30" t="e">
        <f>#REF!</f>
        <v>#REF!</v>
      </c>
      <c r="AZ3" s="32">
        <f t="shared" ref="AZ3:AZ11" si="5">COUNTIF(AF3:AY3,"D")</f>
        <v>0</v>
      </c>
    </row>
    <row r="4" spans="1:64" ht="15.5">
      <c r="A4">
        <v>1</v>
      </c>
      <c r="B4" s="30" t="str">
        <f>Critères!$B4</f>
        <v>1.2</v>
      </c>
      <c r="C4" s="30" t="str">
        <f>Critères!$A3</f>
        <v>IMAGES</v>
      </c>
      <c r="D4" s="30" t="str">
        <f>'P01'!$D5</f>
        <v>NT</v>
      </c>
      <c r="E4" s="30" t="e">
        <f>#REF!</f>
        <v>#REF!</v>
      </c>
      <c r="F4" s="30" t="e">
        <f>#REF!</f>
        <v>#REF!</v>
      </c>
      <c r="G4" s="30" t="e">
        <f>#REF!</f>
        <v>#REF!</v>
      </c>
      <c r="H4" s="30" t="e">
        <f>#REF!</f>
        <v>#REF!</v>
      </c>
      <c r="I4" s="30" t="e">
        <f>#REF!</f>
        <v>#REF!</v>
      </c>
      <c r="J4" s="30" t="e">
        <f>#REF!</f>
        <v>#REF!</v>
      </c>
      <c r="K4" s="30" t="e">
        <f>#REF!</f>
        <v>#REF!</v>
      </c>
      <c r="L4" s="30" t="e">
        <f>#REF!</f>
        <v>#REF!</v>
      </c>
      <c r="M4" s="30" t="e">
        <f>#REF!</f>
        <v>#REF!</v>
      </c>
      <c r="N4" s="30" t="e">
        <f>#REF!</f>
        <v>#REF!</v>
      </c>
      <c r="O4" s="30" t="e">
        <f>#REF!</f>
        <v>#REF!</v>
      </c>
      <c r="P4" s="30" t="e">
        <f>#REF!</f>
        <v>#REF!</v>
      </c>
      <c r="Q4" s="30" t="e">
        <f>#REF!</f>
        <v>#REF!</v>
      </c>
      <c r="R4" s="30" t="e">
        <f>#REF!</f>
        <v>#REF!</v>
      </c>
      <c r="S4" s="30" t="e">
        <f>#REF!</f>
        <v>#REF!</v>
      </c>
      <c r="T4" s="30" t="e">
        <f>#REF!</f>
        <v>#REF!</v>
      </c>
      <c r="U4" s="30" t="e">
        <f>#REF!</f>
        <v>#REF!</v>
      </c>
      <c r="V4" s="30" t="e">
        <f>#REF!</f>
        <v>#REF!</v>
      </c>
      <c r="W4" s="30" t="e">
        <f>#REF!</f>
        <v>#REF!</v>
      </c>
      <c r="X4" s="32">
        <f t="shared" si="0"/>
        <v>0</v>
      </c>
      <c r="Y4" s="32">
        <f t="shared" si="1"/>
        <v>0</v>
      </c>
      <c r="Z4" s="32">
        <f t="shared" si="2"/>
        <v>0</v>
      </c>
      <c r="AA4" s="32">
        <f t="shared" si="3"/>
        <v>1</v>
      </c>
      <c r="AB4" t="str">
        <f t="shared" si="4"/>
        <v>NT</v>
      </c>
      <c r="AC4">
        <v>1</v>
      </c>
      <c r="AD4" s="30" t="str">
        <f>Critères!$B4</f>
        <v>1.2</v>
      </c>
      <c r="AE4" s="30" t="str">
        <f>Critères!$A3</f>
        <v>IMAGES</v>
      </c>
      <c r="AF4" s="30" t="str">
        <f>'P01'!$E5</f>
        <v>N</v>
      </c>
      <c r="AG4" s="30" t="e">
        <f>#REF!</f>
        <v>#REF!</v>
      </c>
      <c r="AH4" s="30" t="e">
        <f>#REF!</f>
        <v>#REF!</v>
      </c>
      <c r="AI4" s="30" t="e">
        <f>#REF!</f>
        <v>#REF!</v>
      </c>
      <c r="AJ4" s="30" t="e">
        <f>#REF!</f>
        <v>#REF!</v>
      </c>
      <c r="AK4" s="30" t="e">
        <f>#REF!</f>
        <v>#REF!</v>
      </c>
      <c r="AL4" s="30" t="e">
        <f>#REF!</f>
        <v>#REF!</v>
      </c>
      <c r="AM4" s="30" t="e">
        <f>#REF!</f>
        <v>#REF!</v>
      </c>
      <c r="AN4" s="30" t="e">
        <f>#REF!</f>
        <v>#REF!</v>
      </c>
      <c r="AO4" s="30" t="e">
        <f>#REF!</f>
        <v>#REF!</v>
      </c>
      <c r="AP4" s="30" t="e">
        <f>#REF!</f>
        <v>#REF!</v>
      </c>
      <c r="AQ4" s="30" t="e">
        <f>#REF!</f>
        <v>#REF!</v>
      </c>
      <c r="AR4" s="30" t="e">
        <f>#REF!</f>
        <v>#REF!</v>
      </c>
      <c r="AS4" s="30" t="e">
        <f>#REF!</f>
        <v>#REF!</v>
      </c>
      <c r="AT4" s="30" t="e">
        <f>#REF!</f>
        <v>#REF!</v>
      </c>
      <c r="AU4" s="30" t="e">
        <f>#REF!</f>
        <v>#REF!</v>
      </c>
      <c r="AV4" s="30" t="e">
        <f>#REF!</f>
        <v>#REF!</v>
      </c>
      <c r="AW4" s="30" t="e">
        <f>#REF!</f>
        <v>#REF!</v>
      </c>
      <c r="AX4" s="30" t="e">
        <f>#REF!</f>
        <v>#REF!</v>
      </c>
      <c r="AY4" s="30" t="e">
        <f>#REF!</f>
        <v>#REF!</v>
      </c>
      <c r="AZ4" s="32">
        <f t="shared" si="5"/>
        <v>0</v>
      </c>
    </row>
    <row r="5" spans="1:64" ht="15.5">
      <c r="A5">
        <v>1</v>
      </c>
      <c r="B5" s="30" t="str">
        <f>Critères!$B5</f>
        <v>1.3</v>
      </c>
      <c r="C5" s="30" t="str">
        <f>Critères!$A3</f>
        <v>IMAGES</v>
      </c>
      <c r="D5" s="30" t="str">
        <f>'P01'!$D6</f>
        <v>NT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  <c r="N5" s="30" t="e">
        <f>#REF!</f>
        <v>#REF!</v>
      </c>
      <c r="O5" s="30" t="e">
        <f>#REF!</f>
        <v>#REF!</v>
      </c>
      <c r="P5" s="30" t="e">
        <f>#REF!</f>
        <v>#REF!</v>
      </c>
      <c r="Q5" s="30" t="e">
        <f>#REF!</f>
        <v>#REF!</v>
      </c>
      <c r="R5" s="30" t="e">
        <f>#REF!</f>
        <v>#REF!</v>
      </c>
      <c r="S5" s="30" t="e">
        <f>#REF!</f>
        <v>#REF!</v>
      </c>
      <c r="T5" s="30" t="e">
        <f>#REF!</f>
        <v>#REF!</v>
      </c>
      <c r="U5" s="30" t="e">
        <f>#REF!</f>
        <v>#REF!</v>
      </c>
      <c r="V5" s="30" t="e">
        <f>#REF!</f>
        <v>#REF!</v>
      </c>
      <c r="W5" s="30" t="e">
        <f>#REF!</f>
        <v>#REF!</v>
      </c>
      <c r="X5" s="32">
        <f t="shared" si="0"/>
        <v>0</v>
      </c>
      <c r="Y5" s="32">
        <f t="shared" si="1"/>
        <v>0</v>
      </c>
      <c r="Z5" s="32">
        <f t="shared" si="2"/>
        <v>0</v>
      </c>
      <c r="AA5" s="32">
        <f t="shared" si="3"/>
        <v>1</v>
      </c>
      <c r="AB5" t="str">
        <f t="shared" si="4"/>
        <v>NT</v>
      </c>
      <c r="AC5">
        <v>1</v>
      </c>
      <c r="AD5" s="30" t="str">
        <f>Critères!$B5</f>
        <v>1.3</v>
      </c>
      <c r="AE5" s="30" t="str">
        <f>Critères!$A3</f>
        <v>IMAGES</v>
      </c>
      <c r="AF5" s="30" t="str">
        <f>'P01'!$E6</f>
        <v>N</v>
      </c>
      <c r="AG5" s="30" t="e">
        <f>#REF!</f>
        <v>#REF!</v>
      </c>
      <c r="AH5" s="30" t="e">
        <f>#REF!</f>
        <v>#REF!</v>
      </c>
      <c r="AI5" s="30" t="e">
        <f>#REF!</f>
        <v>#REF!</v>
      </c>
      <c r="AJ5" s="30" t="e">
        <f>#REF!</f>
        <v>#REF!</v>
      </c>
      <c r="AK5" s="30" t="e">
        <f>#REF!</f>
        <v>#REF!</v>
      </c>
      <c r="AL5" s="30" t="e">
        <f>#REF!</f>
        <v>#REF!</v>
      </c>
      <c r="AM5" s="30" t="e">
        <f>#REF!</f>
        <v>#REF!</v>
      </c>
      <c r="AN5" s="30" t="e">
        <f>#REF!</f>
        <v>#REF!</v>
      </c>
      <c r="AO5" s="30" t="e">
        <f>#REF!</f>
        <v>#REF!</v>
      </c>
      <c r="AP5" s="30" t="e">
        <f>#REF!</f>
        <v>#REF!</v>
      </c>
      <c r="AQ5" s="30" t="e">
        <f>#REF!</f>
        <v>#REF!</v>
      </c>
      <c r="AR5" s="30" t="e">
        <f>#REF!</f>
        <v>#REF!</v>
      </c>
      <c r="AS5" s="30" t="e">
        <f>#REF!</f>
        <v>#REF!</v>
      </c>
      <c r="AT5" s="30" t="e">
        <f>#REF!</f>
        <v>#REF!</v>
      </c>
      <c r="AU5" s="30" t="e">
        <f>#REF!</f>
        <v>#REF!</v>
      </c>
      <c r="AV5" s="30" t="e">
        <f>#REF!</f>
        <v>#REF!</v>
      </c>
      <c r="AW5" s="30" t="e">
        <f>#REF!</f>
        <v>#REF!</v>
      </c>
      <c r="AX5" s="30" t="e">
        <f>#REF!</f>
        <v>#REF!</v>
      </c>
      <c r="AY5" s="30" t="e">
        <f>#REF!</f>
        <v>#REF!</v>
      </c>
      <c r="AZ5" s="32">
        <f t="shared" si="5"/>
        <v>0</v>
      </c>
    </row>
    <row r="6" spans="1:64" ht="15.5">
      <c r="A6">
        <v>1</v>
      </c>
      <c r="B6" s="30" t="str">
        <f>Critères!$B6</f>
        <v>1.4</v>
      </c>
      <c r="C6" s="30" t="str">
        <f>Critères!$A3</f>
        <v>IMAGES</v>
      </c>
      <c r="D6" s="30" t="str">
        <f>'P01'!$D7</f>
        <v>NT</v>
      </c>
      <c r="E6" s="30" t="e">
        <f>#REF!</f>
        <v>#REF!</v>
      </c>
      <c r="F6" s="30" t="e">
        <f>#REF!</f>
        <v>#REF!</v>
      </c>
      <c r="G6" s="30" t="e">
        <f>#REF!</f>
        <v>#REF!</v>
      </c>
      <c r="H6" s="30" t="e">
        <f>#REF!</f>
        <v>#REF!</v>
      </c>
      <c r="I6" s="30" t="e">
        <f>#REF!</f>
        <v>#REF!</v>
      </c>
      <c r="J6" s="30" t="e">
        <f>#REF!</f>
        <v>#REF!</v>
      </c>
      <c r="K6" s="30" t="e">
        <f>#REF!</f>
        <v>#REF!</v>
      </c>
      <c r="L6" s="30" t="e">
        <f>#REF!</f>
        <v>#REF!</v>
      </c>
      <c r="M6" s="30" t="e">
        <f>#REF!</f>
        <v>#REF!</v>
      </c>
      <c r="N6" s="30" t="e">
        <f>#REF!</f>
        <v>#REF!</v>
      </c>
      <c r="O6" s="30" t="e">
        <f>#REF!</f>
        <v>#REF!</v>
      </c>
      <c r="P6" s="30" t="e">
        <f>#REF!</f>
        <v>#REF!</v>
      </c>
      <c r="Q6" s="30" t="e">
        <f>#REF!</f>
        <v>#REF!</v>
      </c>
      <c r="R6" s="30" t="e">
        <f>#REF!</f>
        <v>#REF!</v>
      </c>
      <c r="S6" s="30" t="e">
        <f>#REF!</f>
        <v>#REF!</v>
      </c>
      <c r="T6" s="30" t="e">
        <f>#REF!</f>
        <v>#REF!</v>
      </c>
      <c r="U6" s="30" t="e">
        <f>#REF!</f>
        <v>#REF!</v>
      </c>
      <c r="V6" s="30" t="e">
        <f>#REF!</f>
        <v>#REF!</v>
      </c>
      <c r="W6" s="30" t="e">
        <f>#REF!</f>
        <v>#REF!</v>
      </c>
      <c r="X6" s="32">
        <f t="shared" si="0"/>
        <v>0</v>
      </c>
      <c r="Y6" s="32">
        <f t="shared" si="1"/>
        <v>0</v>
      </c>
      <c r="Z6" s="32">
        <f t="shared" si="2"/>
        <v>0</v>
      </c>
      <c r="AA6" s="32">
        <f t="shared" si="3"/>
        <v>1</v>
      </c>
      <c r="AB6" t="str">
        <f t="shared" si="4"/>
        <v>NT</v>
      </c>
      <c r="AC6">
        <v>1</v>
      </c>
      <c r="AD6" s="30" t="str">
        <f>Critères!$B6</f>
        <v>1.4</v>
      </c>
      <c r="AE6" s="30" t="str">
        <f>Critères!$A3</f>
        <v>IMAGES</v>
      </c>
      <c r="AF6" s="30" t="str">
        <f>'P01'!$E7</f>
        <v>N</v>
      </c>
      <c r="AG6" s="30" t="e">
        <f>#REF!</f>
        <v>#REF!</v>
      </c>
      <c r="AH6" s="30" t="e">
        <f>#REF!</f>
        <v>#REF!</v>
      </c>
      <c r="AI6" s="30" t="e">
        <f>#REF!</f>
        <v>#REF!</v>
      </c>
      <c r="AJ6" s="30" t="e">
        <f>#REF!</f>
        <v>#REF!</v>
      </c>
      <c r="AK6" s="30" t="e">
        <f>#REF!</f>
        <v>#REF!</v>
      </c>
      <c r="AL6" s="30" t="e">
        <f>#REF!</f>
        <v>#REF!</v>
      </c>
      <c r="AM6" s="30" t="e">
        <f>#REF!</f>
        <v>#REF!</v>
      </c>
      <c r="AN6" s="30" t="e">
        <f>#REF!</f>
        <v>#REF!</v>
      </c>
      <c r="AO6" s="30" t="e">
        <f>#REF!</f>
        <v>#REF!</v>
      </c>
      <c r="AP6" s="30" t="e">
        <f>#REF!</f>
        <v>#REF!</v>
      </c>
      <c r="AQ6" s="30" t="e">
        <f>#REF!</f>
        <v>#REF!</v>
      </c>
      <c r="AR6" s="30" t="e">
        <f>#REF!</f>
        <v>#REF!</v>
      </c>
      <c r="AS6" s="30" t="e">
        <f>#REF!</f>
        <v>#REF!</v>
      </c>
      <c r="AT6" s="30" t="e">
        <f>#REF!</f>
        <v>#REF!</v>
      </c>
      <c r="AU6" s="30" t="e">
        <f>#REF!</f>
        <v>#REF!</v>
      </c>
      <c r="AV6" s="30" t="e">
        <f>#REF!</f>
        <v>#REF!</v>
      </c>
      <c r="AW6" s="30" t="e">
        <f>#REF!</f>
        <v>#REF!</v>
      </c>
      <c r="AX6" s="30" t="e">
        <f>#REF!</f>
        <v>#REF!</v>
      </c>
      <c r="AY6" s="30" t="e">
        <f>#REF!</f>
        <v>#REF!</v>
      </c>
      <c r="AZ6" s="32">
        <f t="shared" si="5"/>
        <v>0</v>
      </c>
    </row>
    <row r="7" spans="1:64" ht="15.5">
      <c r="A7">
        <v>1</v>
      </c>
      <c r="B7" s="30" t="str">
        <f>Critères!$B7</f>
        <v>1.5</v>
      </c>
      <c r="C7" s="30" t="str">
        <f>Critères!$A3</f>
        <v>IMAGES</v>
      </c>
      <c r="D7" s="30" t="str">
        <f>'P01'!$D8</f>
        <v>NT</v>
      </c>
      <c r="E7" s="30" t="e">
        <f>#REF!</f>
        <v>#REF!</v>
      </c>
      <c r="F7" s="30" t="e">
        <f>#REF!</f>
        <v>#REF!</v>
      </c>
      <c r="G7" s="30" t="e">
        <f>#REF!</f>
        <v>#REF!</v>
      </c>
      <c r="H7" s="30" t="e">
        <f>#REF!</f>
        <v>#REF!</v>
      </c>
      <c r="I7" s="30" t="e">
        <f>#REF!</f>
        <v>#REF!</v>
      </c>
      <c r="J7" s="30" t="e">
        <f>#REF!</f>
        <v>#REF!</v>
      </c>
      <c r="K7" s="30" t="e">
        <f>#REF!</f>
        <v>#REF!</v>
      </c>
      <c r="L7" s="30" t="e">
        <f>#REF!</f>
        <v>#REF!</v>
      </c>
      <c r="M7" s="30" t="e">
        <f>#REF!</f>
        <v>#REF!</v>
      </c>
      <c r="N7" s="30" t="e">
        <f>#REF!</f>
        <v>#REF!</v>
      </c>
      <c r="O7" s="30" t="e">
        <f>#REF!</f>
        <v>#REF!</v>
      </c>
      <c r="P7" s="30" t="e">
        <f>#REF!</f>
        <v>#REF!</v>
      </c>
      <c r="Q7" s="30" t="e">
        <f>#REF!</f>
        <v>#REF!</v>
      </c>
      <c r="R7" s="30" t="e">
        <f>#REF!</f>
        <v>#REF!</v>
      </c>
      <c r="S7" s="30" t="e">
        <f>#REF!</f>
        <v>#REF!</v>
      </c>
      <c r="T7" s="30" t="e">
        <f>#REF!</f>
        <v>#REF!</v>
      </c>
      <c r="U7" s="30" t="e">
        <f>#REF!</f>
        <v>#REF!</v>
      </c>
      <c r="V7" s="30" t="e">
        <f>#REF!</f>
        <v>#REF!</v>
      </c>
      <c r="W7" s="30" t="e">
        <f>#REF!</f>
        <v>#REF!</v>
      </c>
      <c r="X7" s="32">
        <f t="shared" si="0"/>
        <v>0</v>
      </c>
      <c r="Y7" s="32">
        <f t="shared" si="1"/>
        <v>0</v>
      </c>
      <c r="Z7" s="32">
        <f t="shared" si="2"/>
        <v>0</v>
      </c>
      <c r="AA7" s="32">
        <f t="shared" si="3"/>
        <v>1</v>
      </c>
      <c r="AB7" t="str">
        <f t="shared" si="4"/>
        <v>NT</v>
      </c>
      <c r="AC7">
        <v>1</v>
      </c>
      <c r="AD7" s="30" t="str">
        <f>Critères!$B7</f>
        <v>1.5</v>
      </c>
      <c r="AE7" s="30" t="str">
        <f>Critères!$A3</f>
        <v>IMAGES</v>
      </c>
      <c r="AF7" s="30" t="str">
        <f>'P01'!$E8</f>
        <v>N</v>
      </c>
      <c r="AG7" s="30" t="e">
        <f>#REF!</f>
        <v>#REF!</v>
      </c>
      <c r="AH7" s="30" t="e">
        <f>#REF!</f>
        <v>#REF!</v>
      </c>
      <c r="AI7" s="30" t="e">
        <f>#REF!</f>
        <v>#REF!</v>
      </c>
      <c r="AJ7" s="30" t="e">
        <f>#REF!</f>
        <v>#REF!</v>
      </c>
      <c r="AK7" s="30" t="e">
        <f>#REF!</f>
        <v>#REF!</v>
      </c>
      <c r="AL7" s="30" t="e">
        <f>#REF!</f>
        <v>#REF!</v>
      </c>
      <c r="AM7" s="30" t="e">
        <f>#REF!</f>
        <v>#REF!</v>
      </c>
      <c r="AN7" s="30" t="e">
        <f>#REF!</f>
        <v>#REF!</v>
      </c>
      <c r="AO7" s="30" t="e">
        <f>#REF!</f>
        <v>#REF!</v>
      </c>
      <c r="AP7" s="30" t="e">
        <f>#REF!</f>
        <v>#REF!</v>
      </c>
      <c r="AQ7" s="30" t="e">
        <f>#REF!</f>
        <v>#REF!</v>
      </c>
      <c r="AR7" s="30" t="e">
        <f>#REF!</f>
        <v>#REF!</v>
      </c>
      <c r="AS7" s="30" t="e">
        <f>#REF!</f>
        <v>#REF!</v>
      </c>
      <c r="AT7" s="30" t="e">
        <f>#REF!</f>
        <v>#REF!</v>
      </c>
      <c r="AU7" s="30" t="e">
        <f>#REF!</f>
        <v>#REF!</v>
      </c>
      <c r="AV7" s="30" t="e">
        <f>#REF!</f>
        <v>#REF!</v>
      </c>
      <c r="AW7" s="30" t="e">
        <f>#REF!</f>
        <v>#REF!</v>
      </c>
      <c r="AX7" s="30" t="e">
        <f>#REF!</f>
        <v>#REF!</v>
      </c>
      <c r="AY7" s="30" t="e">
        <f>#REF!</f>
        <v>#REF!</v>
      </c>
      <c r="AZ7" s="32">
        <f t="shared" si="5"/>
        <v>0</v>
      </c>
    </row>
    <row r="8" spans="1:64" ht="15.5">
      <c r="A8">
        <v>1</v>
      </c>
      <c r="B8" s="30" t="str">
        <f>Critères!$B8</f>
        <v>1.6</v>
      </c>
      <c r="C8" s="30" t="str">
        <f>Critères!$A3</f>
        <v>IMAGES</v>
      </c>
      <c r="D8" s="30" t="str">
        <f>'P01'!$D9</f>
        <v>NT</v>
      </c>
      <c r="E8" s="30" t="e">
        <f>#REF!</f>
        <v>#REF!</v>
      </c>
      <c r="F8" s="30" t="e">
        <f>#REF!</f>
        <v>#REF!</v>
      </c>
      <c r="G8" s="30" t="e">
        <f>#REF!</f>
        <v>#REF!</v>
      </c>
      <c r="H8" s="30" t="e">
        <f>#REF!</f>
        <v>#REF!</v>
      </c>
      <c r="I8" s="30" t="e">
        <f>#REF!</f>
        <v>#REF!</v>
      </c>
      <c r="J8" s="30" t="e">
        <f>#REF!</f>
        <v>#REF!</v>
      </c>
      <c r="K8" s="30" t="e">
        <f>#REF!</f>
        <v>#REF!</v>
      </c>
      <c r="L8" s="30" t="e">
        <f>#REF!</f>
        <v>#REF!</v>
      </c>
      <c r="M8" s="30" t="e">
        <f>#REF!</f>
        <v>#REF!</v>
      </c>
      <c r="N8" s="30" t="e">
        <f>#REF!</f>
        <v>#REF!</v>
      </c>
      <c r="O8" s="30" t="e">
        <f>#REF!</f>
        <v>#REF!</v>
      </c>
      <c r="P8" s="30" t="e">
        <f>#REF!</f>
        <v>#REF!</v>
      </c>
      <c r="Q8" s="30" t="e">
        <f>#REF!</f>
        <v>#REF!</v>
      </c>
      <c r="R8" s="30" t="e">
        <f>#REF!</f>
        <v>#REF!</v>
      </c>
      <c r="S8" s="30" t="e">
        <f>#REF!</f>
        <v>#REF!</v>
      </c>
      <c r="T8" s="30" t="e">
        <f>#REF!</f>
        <v>#REF!</v>
      </c>
      <c r="U8" s="30" t="e">
        <f>#REF!</f>
        <v>#REF!</v>
      </c>
      <c r="V8" s="30" t="e">
        <f>#REF!</f>
        <v>#REF!</v>
      </c>
      <c r="W8" s="30" t="e">
        <f>#REF!</f>
        <v>#REF!</v>
      </c>
      <c r="X8" s="32">
        <f t="shared" si="0"/>
        <v>0</v>
      </c>
      <c r="Y8" s="32">
        <f t="shared" si="1"/>
        <v>0</v>
      </c>
      <c r="Z8" s="32">
        <f t="shared" si="2"/>
        <v>0</v>
      </c>
      <c r="AA8" s="32">
        <f t="shared" si="3"/>
        <v>1</v>
      </c>
      <c r="AB8" t="str">
        <f t="shared" si="4"/>
        <v>NT</v>
      </c>
      <c r="AC8">
        <v>1</v>
      </c>
      <c r="AD8" s="30" t="str">
        <f>Critères!$B8</f>
        <v>1.6</v>
      </c>
      <c r="AE8" s="30" t="str">
        <f>Critères!$A3</f>
        <v>IMAGES</v>
      </c>
      <c r="AF8" s="30" t="str">
        <f>'P01'!$E9</f>
        <v>N</v>
      </c>
      <c r="AG8" s="30" t="e">
        <f>#REF!</f>
        <v>#REF!</v>
      </c>
      <c r="AH8" s="30" t="e">
        <f>#REF!</f>
        <v>#REF!</v>
      </c>
      <c r="AI8" s="30" t="e">
        <f>#REF!</f>
        <v>#REF!</v>
      </c>
      <c r="AJ8" s="30" t="e">
        <f>#REF!</f>
        <v>#REF!</v>
      </c>
      <c r="AK8" s="30" t="e">
        <f>#REF!</f>
        <v>#REF!</v>
      </c>
      <c r="AL8" s="30" t="e">
        <f>#REF!</f>
        <v>#REF!</v>
      </c>
      <c r="AM8" s="30" t="e">
        <f>#REF!</f>
        <v>#REF!</v>
      </c>
      <c r="AN8" s="30" t="e">
        <f>#REF!</f>
        <v>#REF!</v>
      </c>
      <c r="AO8" s="30" t="e">
        <f>#REF!</f>
        <v>#REF!</v>
      </c>
      <c r="AP8" s="30" t="e">
        <f>#REF!</f>
        <v>#REF!</v>
      </c>
      <c r="AQ8" s="30" t="e">
        <f>#REF!</f>
        <v>#REF!</v>
      </c>
      <c r="AR8" s="30" t="e">
        <f>#REF!</f>
        <v>#REF!</v>
      </c>
      <c r="AS8" s="30" t="e">
        <f>#REF!</f>
        <v>#REF!</v>
      </c>
      <c r="AT8" s="30" t="e">
        <f>#REF!</f>
        <v>#REF!</v>
      </c>
      <c r="AU8" s="30" t="e">
        <f>#REF!</f>
        <v>#REF!</v>
      </c>
      <c r="AV8" s="30" t="e">
        <f>#REF!</f>
        <v>#REF!</v>
      </c>
      <c r="AW8" s="30" t="e">
        <f>#REF!</f>
        <v>#REF!</v>
      </c>
      <c r="AX8" s="30" t="e">
        <f>#REF!</f>
        <v>#REF!</v>
      </c>
      <c r="AY8" s="30" t="e">
        <f>#REF!</f>
        <v>#REF!</v>
      </c>
      <c r="AZ8" s="32">
        <f t="shared" si="5"/>
        <v>0</v>
      </c>
    </row>
    <row r="9" spans="1:64" ht="15.5">
      <c r="A9">
        <v>1</v>
      </c>
      <c r="B9" s="30" t="str">
        <f>Critères!$B9</f>
        <v>1.7</v>
      </c>
      <c r="C9" s="30" t="str">
        <f>Critères!$A3</f>
        <v>IMAGES</v>
      </c>
      <c r="D9" s="30" t="str">
        <f>'P01'!$D10</f>
        <v>NT</v>
      </c>
      <c r="E9" s="30" t="e">
        <f>#REF!</f>
        <v>#REF!</v>
      </c>
      <c r="F9" s="30" t="e">
        <f>#REF!</f>
        <v>#REF!</v>
      </c>
      <c r="G9" s="30" t="e">
        <f>#REF!</f>
        <v>#REF!</v>
      </c>
      <c r="H9" s="30" t="e">
        <f>#REF!</f>
        <v>#REF!</v>
      </c>
      <c r="I9" s="30" t="e">
        <f>#REF!</f>
        <v>#REF!</v>
      </c>
      <c r="J9" s="30" t="e">
        <f>#REF!</f>
        <v>#REF!</v>
      </c>
      <c r="K9" s="30" t="e">
        <f>#REF!</f>
        <v>#REF!</v>
      </c>
      <c r="L9" s="30" t="e">
        <f>#REF!</f>
        <v>#REF!</v>
      </c>
      <c r="M9" s="30" t="e">
        <f>#REF!</f>
        <v>#REF!</v>
      </c>
      <c r="N9" s="30" t="e">
        <f>#REF!</f>
        <v>#REF!</v>
      </c>
      <c r="O9" s="30" t="e">
        <f>#REF!</f>
        <v>#REF!</v>
      </c>
      <c r="P9" s="30" t="e">
        <f>#REF!</f>
        <v>#REF!</v>
      </c>
      <c r="Q9" s="30" t="e">
        <f>#REF!</f>
        <v>#REF!</v>
      </c>
      <c r="R9" s="30" t="e">
        <f>#REF!</f>
        <v>#REF!</v>
      </c>
      <c r="S9" s="30" t="e">
        <f>#REF!</f>
        <v>#REF!</v>
      </c>
      <c r="T9" s="30" t="e">
        <f>#REF!</f>
        <v>#REF!</v>
      </c>
      <c r="U9" s="30" t="e">
        <f>#REF!</f>
        <v>#REF!</v>
      </c>
      <c r="V9" s="30" t="e">
        <f>#REF!</f>
        <v>#REF!</v>
      </c>
      <c r="W9" s="30" t="e">
        <f>#REF!</f>
        <v>#REF!</v>
      </c>
      <c r="X9" s="32">
        <f t="shared" si="0"/>
        <v>0</v>
      </c>
      <c r="Y9" s="32">
        <f t="shared" si="1"/>
        <v>0</v>
      </c>
      <c r="Z9" s="32">
        <f t="shared" si="2"/>
        <v>0</v>
      </c>
      <c r="AA9" s="32">
        <f t="shared" si="3"/>
        <v>1</v>
      </c>
      <c r="AB9" t="str">
        <f t="shared" si="4"/>
        <v>NT</v>
      </c>
      <c r="AC9">
        <v>1</v>
      </c>
      <c r="AD9" s="30" t="str">
        <f>Critères!$B9</f>
        <v>1.7</v>
      </c>
      <c r="AE9" s="30" t="str">
        <f>Critères!$A3</f>
        <v>IMAGES</v>
      </c>
      <c r="AF9" s="30" t="str">
        <f>'P01'!$E10</f>
        <v>N</v>
      </c>
      <c r="AG9" s="30" t="e">
        <f>#REF!</f>
        <v>#REF!</v>
      </c>
      <c r="AH9" s="30" t="e">
        <f>#REF!</f>
        <v>#REF!</v>
      </c>
      <c r="AI9" s="30" t="e">
        <f>#REF!</f>
        <v>#REF!</v>
      </c>
      <c r="AJ9" s="30" t="e">
        <f>#REF!</f>
        <v>#REF!</v>
      </c>
      <c r="AK9" s="30" t="e">
        <f>#REF!</f>
        <v>#REF!</v>
      </c>
      <c r="AL9" s="30" t="e">
        <f>#REF!</f>
        <v>#REF!</v>
      </c>
      <c r="AM9" s="30" t="e">
        <f>#REF!</f>
        <v>#REF!</v>
      </c>
      <c r="AN9" s="30" t="e">
        <f>#REF!</f>
        <v>#REF!</v>
      </c>
      <c r="AO9" s="30" t="e">
        <f>#REF!</f>
        <v>#REF!</v>
      </c>
      <c r="AP9" s="30" t="e">
        <f>#REF!</f>
        <v>#REF!</v>
      </c>
      <c r="AQ9" s="30" t="e">
        <f>#REF!</f>
        <v>#REF!</v>
      </c>
      <c r="AR9" s="30" t="e">
        <f>#REF!</f>
        <v>#REF!</v>
      </c>
      <c r="AS9" s="30" t="e">
        <f>#REF!</f>
        <v>#REF!</v>
      </c>
      <c r="AT9" s="30" t="e">
        <f>#REF!</f>
        <v>#REF!</v>
      </c>
      <c r="AU9" s="30" t="e">
        <f>#REF!</f>
        <v>#REF!</v>
      </c>
      <c r="AV9" s="30" t="e">
        <f>#REF!</f>
        <v>#REF!</v>
      </c>
      <c r="AW9" s="30" t="e">
        <f>#REF!</f>
        <v>#REF!</v>
      </c>
      <c r="AX9" s="30" t="e">
        <f>#REF!</f>
        <v>#REF!</v>
      </c>
      <c r="AY9" s="30" t="e">
        <f>#REF!</f>
        <v>#REF!</v>
      </c>
      <c r="AZ9" s="32">
        <f t="shared" si="5"/>
        <v>0</v>
      </c>
    </row>
    <row r="10" spans="1:64" ht="15.5">
      <c r="A10">
        <v>1</v>
      </c>
      <c r="B10" s="30" t="str">
        <f>Critères!$B10</f>
        <v>1.8</v>
      </c>
      <c r="C10" s="30" t="str">
        <f>Critères!$A3</f>
        <v>IMAGES</v>
      </c>
      <c r="D10" s="30" t="str">
        <f>'P01'!$D11</f>
        <v>NT</v>
      </c>
      <c r="E10" s="30" t="e">
        <f>#REF!</f>
        <v>#REF!</v>
      </c>
      <c r="F10" s="30" t="e">
        <f>#REF!</f>
        <v>#REF!</v>
      </c>
      <c r="G10" s="30" t="e">
        <f>#REF!</f>
        <v>#REF!</v>
      </c>
      <c r="H10" s="30" t="e">
        <f>#REF!</f>
        <v>#REF!</v>
      </c>
      <c r="I10" s="30" t="e">
        <f>#REF!</f>
        <v>#REF!</v>
      </c>
      <c r="J10" s="30" t="e">
        <f>#REF!</f>
        <v>#REF!</v>
      </c>
      <c r="K10" s="30" t="e">
        <f>#REF!</f>
        <v>#REF!</v>
      </c>
      <c r="L10" s="30" t="e">
        <f>#REF!</f>
        <v>#REF!</v>
      </c>
      <c r="M10" s="30" t="e">
        <f>#REF!</f>
        <v>#REF!</v>
      </c>
      <c r="N10" s="30" t="e">
        <f>#REF!</f>
        <v>#REF!</v>
      </c>
      <c r="O10" s="30" t="e">
        <f>#REF!</f>
        <v>#REF!</v>
      </c>
      <c r="P10" s="30" t="e">
        <f>#REF!</f>
        <v>#REF!</v>
      </c>
      <c r="Q10" s="30" t="e">
        <f>#REF!</f>
        <v>#REF!</v>
      </c>
      <c r="R10" s="30" t="e">
        <f>#REF!</f>
        <v>#REF!</v>
      </c>
      <c r="S10" s="30" t="e">
        <f>#REF!</f>
        <v>#REF!</v>
      </c>
      <c r="T10" s="30" t="e">
        <f>#REF!</f>
        <v>#REF!</v>
      </c>
      <c r="U10" s="30" t="e">
        <f>#REF!</f>
        <v>#REF!</v>
      </c>
      <c r="V10" s="30" t="e">
        <f>#REF!</f>
        <v>#REF!</v>
      </c>
      <c r="W10" s="30" t="e">
        <f>#REF!</f>
        <v>#REF!</v>
      </c>
      <c r="X10" s="32">
        <f t="shared" si="0"/>
        <v>0</v>
      </c>
      <c r="Y10" s="32">
        <f t="shared" si="1"/>
        <v>0</v>
      </c>
      <c r="Z10" s="32">
        <f t="shared" si="2"/>
        <v>0</v>
      </c>
      <c r="AA10" s="32">
        <f t="shared" si="3"/>
        <v>1</v>
      </c>
      <c r="AB10" t="str">
        <f t="shared" si="4"/>
        <v>NT</v>
      </c>
      <c r="AC10">
        <v>1</v>
      </c>
      <c r="AD10" s="30" t="str">
        <f>Critères!$B10</f>
        <v>1.8</v>
      </c>
      <c r="AE10" s="30" t="str">
        <f>Critères!$A3</f>
        <v>IMAGES</v>
      </c>
      <c r="AF10" s="30" t="str">
        <f>'P01'!$E11</f>
        <v>N</v>
      </c>
      <c r="AG10" s="30" t="e">
        <f>#REF!</f>
        <v>#REF!</v>
      </c>
      <c r="AH10" s="30" t="e">
        <f>#REF!</f>
        <v>#REF!</v>
      </c>
      <c r="AI10" s="30" t="e">
        <f>#REF!</f>
        <v>#REF!</v>
      </c>
      <c r="AJ10" s="30" t="e">
        <f>#REF!</f>
        <v>#REF!</v>
      </c>
      <c r="AK10" s="30" t="e">
        <f>#REF!</f>
        <v>#REF!</v>
      </c>
      <c r="AL10" s="30" t="e">
        <f>#REF!</f>
        <v>#REF!</v>
      </c>
      <c r="AM10" s="30" t="e">
        <f>#REF!</f>
        <v>#REF!</v>
      </c>
      <c r="AN10" s="30" t="e">
        <f>#REF!</f>
        <v>#REF!</v>
      </c>
      <c r="AO10" s="30" t="e">
        <f>#REF!</f>
        <v>#REF!</v>
      </c>
      <c r="AP10" s="30" t="e">
        <f>#REF!</f>
        <v>#REF!</v>
      </c>
      <c r="AQ10" s="30" t="e">
        <f>#REF!</f>
        <v>#REF!</v>
      </c>
      <c r="AR10" s="30" t="e">
        <f>#REF!</f>
        <v>#REF!</v>
      </c>
      <c r="AS10" s="30" t="e">
        <f>#REF!</f>
        <v>#REF!</v>
      </c>
      <c r="AT10" s="30" t="e">
        <f>#REF!</f>
        <v>#REF!</v>
      </c>
      <c r="AU10" s="30" t="e">
        <f>#REF!</f>
        <v>#REF!</v>
      </c>
      <c r="AV10" s="30" t="e">
        <f>#REF!</f>
        <v>#REF!</v>
      </c>
      <c r="AW10" s="30" t="e">
        <f>#REF!</f>
        <v>#REF!</v>
      </c>
      <c r="AX10" s="30" t="e">
        <f>#REF!</f>
        <v>#REF!</v>
      </c>
      <c r="AY10" s="30" t="e">
        <f>#REF!</f>
        <v>#REF!</v>
      </c>
      <c r="AZ10" s="32">
        <f t="shared" si="5"/>
        <v>0</v>
      </c>
    </row>
    <row r="11" spans="1:64" ht="15.5">
      <c r="A11">
        <v>1</v>
      </c>
      <c r="B11" s="30" t="str">
        <f>Critères!$B11</f>
        <v>1.9</v>
      </c>
      <c r="C11" s="30" t="str">
        <f>Critères!$A3</f>
        <v>IMAGES</v>
      </c>
      <c r="D11" s="30" t="str">
        <f>'P01'!$D12</f>
        <v>NT</v>
      </c>
      <c r="E11" s="30" t="e">
        <f>#REF!</f>
        <v>#REF!</v>
      </c>
      <c r="F11" s="30" t="e">
        <f>#REF!</f>
        <v>#REF!</v>
      </c>
      <c r="G11" s="30" t="e">
        <f>#REF!</f>
        <v>#REF!</v>
      </c>
      <c r="H11" s="30" t="e">
        <f>#REF!</f>
        <v>#REF!</v>
      </c>
      <c r="I11" s="30" t="e">
        <f>#REF!</f>
        <v>#REF!</v>
      </c>
      <c r="J11" s="30" t="e">
        <f>#REF!</f>
        <v>#REF!</v>
      </c>
      <c r="K11" s="30" t="e">
        <f>#REF!</f>
        <v>#REF!</v>
      </c>
      <c r="L11" s="30" t="e">
        <f>#REF!</f>
        <v>#REF!</v>
      </c>
      <c r="M11" s="30" t="e">
        <f>#REF!</f>
        <v>#REF!</v>
      </c>
      <c r="N11" s="30" t="e">
        <f>#REF!</f>
        <v>#REF!</v>
      </c>
      <c r="O11" s="30" t="e">
        <f>#REF!</f>
        <v>#REF!</v>
      </c>
      <c r="P11" s="30" t="e">
        <f>#REF!</f>
        <v>#REF!</v>
      </c>
      <c r="Q11" s="30" t="e">
        <f>#REF!</f>
        <v>#REF!</v>
      </c>
      <c r="R11" s="30" t="e">
        <f>#REF!</f>
        <v>#REF!</v>
      </c>
      <c r="S11" s="30" t="e">
        <f>#REF!</f>
        <v>#REF!</v>
      </c>
      <c r="T11" s="30" t="e">
        <f>#REF!</f>
        <v>#REF!</v>
      </c>
      <c r="U11" s="30" t="e">
        <f>#REF!</f>
        <v>#REF!</v>
      </c>
      <c r="V11" s="30" t="e">
        <f>#REF!</f>
        <v>#REF!</v>
      </c>
      <c r="W11" s="30" t="e">
        <f>#REF!</f>
        <v>#REF!</v>
      </c>
      <c r="X11" s="32">
        <f t="shared" si="0"/>
        <v>0</v>
      </c>
      <c r="Y11" s="32">
        <f t="shared" si="1"/>
        <v>0</v>
      </c>
      <c r="Z11" s="32">
        <f t="shared" si="2"/>
        <v>0</v>
      </c>
      <c r="AA11" s="32">
        <f t="shared" si="3"/>
        <v>1</v>
      </c>
      <c r="AB11" t="str">
        <f t="shared" si="4"/>
        <v>NT</v>
      </c>
      <c r="AC11">
        <v>1</v>
      </c>
      <c r="AD11" s="30" t="str">
        <f>Critères!$B11</f>
        <v>1.9</v>
      </c>
      <c r="AE11" s="30" t="str">
        <f>Critères!$A3</f>
        <v>IMAGES</v>
      </c>
      <c r="AF11" s="30" t="str">
        <f>'P01'!$E12</f>
        <v>N</v>
      </c>
      <c r="AG11" s="30" t="e">
        <f>#REF!</f>
        <v>#REF!</v>
      </c>
      <c r="AH11" s="30" t="e">
        <f>#REF!</f>
        <v>#REF!</v>
      </c>
      <c r="AI11" s="30" t="e">
        <f>#REF!</f>
        <v>#REF!</v>
      </c>
      <c r="AJ11" s="30" t="e">
        <f>#REF!</f>
        <v>#REF!</v>
      </c>
      <c r="AK11" s="30" t="e">
        <f>#REF!</f>
        <v>#REF!</v>
      </c>
      <c r="AL11" s="30" t="e">
        <f>#REF!</f>
        <v>#REF!</v>
      </c>
      <c r="AM11" s="30" t="e">
        <f>#REF!</f>
        <v>#REF!</v>
      </c>
      <c r="AN11" s="30" t="e">
        <f>#REF!</f>
        <v>#REF!</v>
      </c>
      <c r="AO11" s="30" t="e">
        <f>#REF!</f>
        <v>#REF!</v>
      </c>
      <c r="AP11" s="30" t="e">
        <f>#REF!</f>
        <v>#REF!</v>
      </c>
      <c r="AQ11" s="30" t="e">
        <f>#REF!</f>
        <v>#REF!</v>
      </c>
      <c r="AR11" s="30" t="e">
        <f>#REF!</f>
        <v>#REF!</v>
      </c>
      <c r="AS11" s="30" t="e">
        <f>#REF!</f>
        <v>#REF!</v>
      </c>
      <c r="AT11" s="30" t="e">
        <f>#REF!</f>
        <v>#REF!</v>
      </c>
      <c r="AU11" s="30" t="e">
        <f>#REF!</f>
        <v>#REF!</v>
      </c>
      <c r="AV11" s="30" t="e">
        <f>#REF!</f>
        <v>#REF!</v>
      </c>
      <c r="AW11" s="30" t="e">
        <f>#REF!</f>
        <v>#REF!</v>
      </c>
      <c r="AX11" s="30" t="e">
        <f>#REF!</f>
        <v>#REF!</v>
      </c>
      <c r="AY11" s="30" t="e">
        <f>#REF!</f>
        <v>#REF!</v>
      </c>
      <c r="AZ11" s="32">
        <f t="shared" si="5"/>
        <v>0</v>
      </c>
    </row>
    <row r="12" spans="1:64" ht="15.5">
      <c r="A12" s="3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6">
        <f>SUM(X3:X11)</f>
        <v>0</v>
      </c>
      <c r="Y12" s="36">
        <f>SUM(Y3:Y11)</f>
        <v>0</v>
      </c>
      <c r="Z12" s="36">
        <f>SUM(Z3:Z11)</f>
        <v>0</v>
      </c>
      <c r="AA12" s="36">
        <f>SUM(AA3:AA11)</f>
        <v>9</v>
      </c>
      <c r="AC12" s="3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>
        <f>SUM(AZ1:AZ11)</f>
        <v>0</v>
      </c>
    </row>
    <row r="13" spans="1:64" ht="15.5">
      <c r="A13">
        <v>2</v>
      </c>
      <c r="B13" s="30" t="str">
        <f>Critères!$B13</f>
        <v>2.1</v>
      </c>
      <c r="C13" s="30" t="str">
        <f>Critères!$A13</f>
        <v>CADRES</v>
      </c>
      <c r="D13" s="30" t="str">
        <f>'P01'!$D13</f>
        <v>NT</v>
      </c>
      <c r="E13" s="30" t="e">
        <f>#REF!</f>
        <v>#REF!</v>
      </c>
      <c r="F13" s="30" t="e">
        <f>#REF!</f>
        <v>#REF!</v>
      </c>
      <c r="G13" s="30" t="e">
        <f>#REF!</f>
        <v>#REF!</v>
      </c>
      <c r="H13" s="30" t="e">
        <f>#REF!</f>
        <v>#REF!</v>
      </c>
      <c r="I13" s="30" t="e">
        <f>#REF!</f>
        <v>#REF!</v>
      </c>
      <c r="J13" s="30" t="e">
        <f>#REF!</f>
        <v>#REF!</v>
      </c>
      <c r="K13" s="30" t="e">
        <f>#REF!</f>
        <v>#REF!</v>
      </c>
      <c r="L13" s="30" t="e">
        <f>#REF!</f>
        <v>#REF!</v>
      </c>
      <c r="M13" s="30" t="e">
        <f>#REF!</f>
        <v>#REF!</v>
      </c>
      <c r="N13" s="30" t="e">
        <f>#REF!</f>
        <v>#REF!</v>
      </c>
      <c r="O13" s="30" t="e">
        <f>#REF!</f>
        <v>#REF!</v>
      </c>
      <c r="P13" s="30" t="e">
        <f>#REF!</f>
        <v>#REF!</v>
      </c>
      <c r="Q13" s="30" t="e">
        <f>#REF!</f>
        <v>#REF!</v>
      </c>
      <c r="R13" s="30" t="e">
        <f>#REF!</f>
        <v>#REF!</v>
      </c>
      <c r="S13" s="30" t="e">
        <f>#REF!</f>
        <v>#REF!</v>
      </c>
      <c r="T13" s="30" t="e">
        <f>#REF!</f>
        <v>#REF!</v>
      </c>
      <c r="U13" s="30" t="e">
        <f>#REF!</f>
        <v>#REF!</v>
      </c>
      <c r="V13" s="30" t="e">
        <f>#REF!</f>
        <v>#REF!</v>
      </c>
      <c r="W13" s="30" t="e">
        <f>#REF!</f>
        <v>#REF!</v>
      </c>
      <c r="X13" s="32">
        <f>COUNTIF(D13:W13,"C")</f>
        <v>0</v>
      </c>
      <c r="Y13" s="32">
        <f>COUNTIF(D13:W13,"NC")</f>
        <v>0</v>
      </c>
      <c r="Z13" s="32">
        <f>COUNTIF(D13:W13,"NA")</f>
        <v>0</v>
      </c>
      <c r="AA13" s="32">
        <f>COUNTIF(D13:W13,"NT")</f>
        <v>1</v>
      </c>
      <c r="AB13" t="str">
        <f>IF(Y13&gt;0,"NC",IF(X13&gt;0,"C",IF(AA13&gt;0,"NT","NA")))</f>
        <v>NT</v>
      </c>
      <c r="AC13">
        <v>2</v>
      </c>
      <c r="AD13" s="30" t="str">
        <f>Critères!$B13</f>
        <v>2.1</v>
      </c>
      <c r="AE13" s="30" t="str">
        <f>Critères!$A13</f>
        <v>CADRES</v>
      </c>
      <c r="AF13" s="30" t="str">
        <f>'P01'!$E13</f>
        <v>N</v>
      </c>
      <c r="AG13" s="30" t="e">
        <f>#REF!</f>
        <v>#REF!</v>
      </c>
      <c r="AH13" s="30" t="e">
        <f>#REF!</f>
        <v>#REF!</v>
      </c>
      <c r="AI13" s="30" t="e">
        <f>#REF!</f>
        <v>#REF!</v>
      </c>
      <c r="AJ13" s="30" t="e">
        <f>#REF!</f>
        <v>#REF!</v>
      </c>
      <c r="AK13" s="30" t="e">
        <f>#REF!</f>
        <v>#REF!</v>
      </c>
      <c r="AL13" s="30" t="e">
        <f>#REF!</f>
        <v>#REF!</v>
      </c>
      <c r="AM13" s="30" t="e">
        <f>#REF!</f>
        <v>#REF!</v>
      </c>
      <c r="AN13" s="30" t="e">
        <f>#REF!</f>
        <v>#REF!</v>
      </c>
      <c r="AO13" s="30" t="e">
        <f>#REF!</f>
        <v>#REF!</v>
      </c>
      <c r="AP13" s="30" t="e">
        <f>#REF!</f>
        <v>#REF!</v>
      </c>
      <c r="AQ13" s="30" t="e">
        <f>#REF!</f>
        <v>#REF!</v>
      </c>
      <c r="AR13" s="30" t="e">
        <f>#REF!</f>
        <v>#REF!</v>
      </c>
      <c r="AS13" s="30" t="e">
        <f>#REF!</f>
        <v>#REF!</v>
      </c>
      <c r="AT13" s="30" t="e">
        <f>#REF!</f>
        <v>#REF!</v>
      </c>
      <c r="AU13" s="30" t="e">
        <f>#REF!</f>
        <v>#REF!</v>
      </c>
      <c r="AV13" s="30" t="e">
        <f>#REF!</f>
        <v>#REF!</v>
      </c>
      <c r="AW13" s="30" t="e">
        <f>#REF!</f>
        <v>#REF!</v>
      </c>
      <c r="AX13" s="30" t="e">
        <f>#REF!</f>
        <v>#REF!</v>
      </c>
      <c r="AY13" s="30" t="e">
        <f>#REF!</f>
        <v>#REF!</v>
      </c>
      <c r="AZ13" s="32">
        <f>COUNTIF(AF13:AY13,"D")</f>
        <v>0</v>
      </c>
    </row>
    <row r="14" spans="1:64" ht="15.5">
      <c r="A14">
        <v>2</v>
      </c>
      <c r="B14" s="30" t="str">
        <f>Critères!$B14</f>
        <v>2.2</v>
      </c>
      <c r="C14" s="30" t="str">
        <f>Critères!$A13</f>
        <v>CADRES</v>
      </c>
      <c r="D14" s="30" t="str">
        <f>'P01'!$D14</f>
        <v>NT</v>
      </c>
      <c r="E14" s="30" t="e">
        <f>#REF!</f>
        <v>#REF!</v>
      </c>
      <c r="F14" s="30" t="e">
        <f>#REF!</f>
        <v>#REF!</v>
      </c>
      <c r="G14" s="30" t="e">
        <f>#REF!</f>
        <v>#REF!</v>
      </c>
      <c r="H14" s="30" t="e">
        <f>#REF!</f>
        <v>#REF!</v>
      </c>
      <c r="I14" s="30" t="e">
        <f>#REF!</f>
        <v>#REF!</v>
      </c>
      <c r="J14" s="30" t="e">
        <f>#REF!</f>
        <v>#REF!</v>
      </c>
      <c r="K14" s="30" t="e">
        <f>#REF!</f>
        <v>#REF!</v>
      </c>
      <c r="L14" s="30" t="e">
        <f>#REF!</f>
        <v>#REF!</v>
      </c>
      <c r="M14" s="30" t="e">
        <f>#REF!</f>
        <v>#REF!</v>
      </c>
      <c r="N14" s="30" t="e">
        <f>#REF!</f>
        <v>#REF!</v>
      </c>
      <c r="O14" s="30" t="e">
        <f>#REF!</f>
        <v>#REF!</v>
      </c>
      <c r="P14" s="30" t="e">
        <f>#REF!</f>
        <v>#REF!</v>
      </c>
      <c r="Q14" s="30" t="e">
        <f>#REF!</f>
        <v>#REF!</v>
      </c>
      <c r="R14" s="30" t="e">
        <f>#REF!</f>
        <v>#REF!</v>
      </c>
      <c r="S14" s="30" t="e">
        <f>#REF!</f>
        <v>#REF!</v>
      </c>
      <c r="T14" s="30" t="e">
        <f>#REF!</f>
        <v>#REF!</v>
      </c>
      <c r="U14" s="30" t="e">
        <f>#REF!</f>
        <v>#REF!</v>
      </c>
      <c r="V14" s="30" t="e">
        <f>#REF!</f>
        <v>#REF!</v>
      </c>
      <c r="W14" s="30" t="e">
        <f>#REF!</f>
        <v>#REF!</v>
      </c>
      <c r="X14" s="32">
        <f>COUNTIF(D14:W14,"C")</f>
        <v>0</v>
      </c>
      <c r="Y14" s="32">
        <f>COUNTIF(D14:W14,"NC")</f>
        <v>0</v>
      </c>
      <c r="Z14" s="32">
        <f>COUNTIF(D14:W14,"NA")</f>
        <v>0</v>
      </c>
      <c r="AA14" s="32">
        <f>COUNTIF(D14:W14,"NT")</f>
        <v>1</v>
      </c>
      <c r="AB14" t="str">
        <f>IF(Y14&gt;0,"NC",IF(X14&gt;0,"C",IF(AA14&gt;0,"NT","NA")))</f>
        <v>NT</v>
      </c>
      <c r="AC14">
        <v>2</v>
      </c>
      <c r="AD14" s="30" t="str">
        <f>Critères!$B14</f>
        <v>2.2</v>
      </c>
      <c r="AE14" s="30" t="str">
        <f>Critères!$A13</f>
        <v>CADRES</v>
      </c>
      <c r="AF14" s="30" t="str">
        <f>'P01'!$E14</f>
        <v>N</v>
      </c>
      <c r="AG14" s="30" t="e">
        <f>#REF!</f>
        <v>#REF!</v>
      </c>
      <c r="AH14" s="30" t="e">
        <f>#REF!</f>
        <v>#REF!</v>
      </c>
      <c r="AI14" s="30" t="e">
        <f>#REF!</f>
        <v>#REF!</v>
      </c>
      <c r="AJ14" s="30" t="e">
        <f>#REF!</f>
        <v>#REF!</v>
      </c>
      <c r="AK14" s="30" t="e">
        <f>#REF!</f>
        <v>#REF!</v>
      </c>
      <c r="AL14" s="30" t="e">
        <f>#REF!</f>
        <v>#REF!</v>
      </c>
      <c r="AM14" s="30" t="e">
        <f>#REF!</f>
        <v>#REF!</v>
      </c>
      <c r="AN14" s="30" t="e">
        <f>#REF!</f>
        <v>#REF!</v>
      </c>
      <c r="AO14" s="30" t="e">
        <f>#REF!</f>
        <v>#REF!</v>
      </c>
      <c r="AP14" s="30" t="e">
        <f>#REF!</f>
        <v>#REF!</v>
      </c>
      <c r="AQ14" s="30" t="e">
        <f>#REF!</f>
        <v>#REF!</v>
      </c>
      <c r="AR14" s="30" t="e">
        <f>#REF!</f>
        <v>#REF!</v>
      </c>
      <c r="AS14" s="30" t="e">
        <f>#REF!</f>
        <v>#REF!</v>
      </c>
      <c r="AT14" s="30" t="e">
        <f>#REF!</f>
        <v>#REF!</v>
      </c>
      <c r="AU14" s="30" t="e">
        <f>#REF!</f>
        <v>#REF!</v>
      </c>
      <c r="AV14" s="30" t="e">
        <f>#REF!</f>
        <v>#REF!</v>
      </c>
      <c r="AW14" s="30" t="e">
        <f>#REF!</f>
        <v>#REF!</v>
      </c>
      <c r="AX14" s="30" t="e">
        <f>#REF!</f>
        <v>#REF!</v>
      </c>
      <c r="AY14" s="30" t="e">
        <f>#REF!</f>
        <v>#REF!</v>
      </c>
      <c r="AZ14" s="32">
        <f>COUNTIF(AF14:AY14,"D")</f>
        <v>0</v>
      </c>
    </row>
    <row r="15" spans="1:64" ht="15.5">
      <c r="A15" s="3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>
        <f>SUM(X13:X14)</f>
        <v>0</v>
      </c>
      <c r="Y15" s="36">
        <f>SUM(Y13:Y14)</f>
        <v>0</v>
      </c>
      <c r="Z15" s="36">
        <f>SUM(Z13:Z14)</f>
        <v>0</v>
      </c>
      <c r="AA15" s="36">
        <f>SUM(AA13:AA14)</f>
        <v>2</v>
      </c>
      <c r="AC15" s="3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6">
        <f>SUM(AZ13:AZ14)</f>
        <v>0</v>
      </c>
    </row>
    <row r="16" spans="1:64" ht="15.5">
      <c r="A16">
        <v>3</v>
      </c>
      <c r="B16" s="30" t="str">
        <f>Critères!$B16</f>
        <v>3.1</v>
      </c>
      <c r="C16" s="30" t="str">
        <f>Critères!$A16</f>
        <v>COULEURS</v>
      </c>
      <c r="D16" s="30" t="str">
        <f>'P01'!$D15</f>
        <v>NT</v>
      </c>
      <c r="E16" s="30" t="e">
        <f>#REF!</f>
        <v>#REF!</v>
      </c>
      <c r="F16" s="30" t="e">
        <f>#REF!</f>
        <v>#REF!</v>
      </c>
      <c r="G16" s="30" t="e">
        <f>#REF!</f>
        <v>#REF!</v>
      </c>
      <c r="H16" s="30" t="e">
        <f>#REF!</f>
        <v>#REF!</v>
      </c>
      <c r="I16" s="30" t="e">
        <f>#REF!</f>
        <v>#REF!</v>
      </c>
      <c r="J16" s="30" t="e">
        <f>#REF!</f>
        <v>#REF!</v>
      </c>
      <c r="K16" s="30" t="e">
        <f>#REF!</f>
        <v>#REF!</v>
      </c>
      <c r="L16" s="30" t="e">
        <f>#REF!</f>
        <v>#REF!</v>
      </c>
      <c r="M16" s="30" t="e">
        <f>#REF!</f>
        <v>#REF!</v>
      </c>
      <c r="N16" s="30" t="e">
        <f>#REF!</f>
        <v>#REF!</v>
      </c>
      <c r="O16" s="30" t="e">
        <f>#REF!</f>
        <v>#REF!</v>
      </c>
      <c r="P16" s="30" t="e">
        <f>#REF!</f>
        <v>#REF!</v>
      </c>
      <c r="Q16" s="30" t="e">
        <f>#REF!</f>
        <v>#REF!</v>
      </c>
      <c r="R16" s="30" t="e">
        <f>#REF!</f>
        <v>#REF!</v>
      </c>
      <c r="S16" s="30" t="e">
        <f>#REF!</f>
        <v>#REF!</v>
      </c>
      <c r="T16" s="30" t="e">
        <f>#REF!</f>
        <v>#REF!</v>
      </c>
      <c r="U16" s="30" t="e">
        <f>#REF!</f>
        <v>#REF!</v>
      </c>
      <c r="V16" s="30" t="e">
        <f>#REF!</f>
        <v>#REF!</v>
      </c>
      <c r="W16" s="30" t="e">
        <f>#REF!</f>
        <v>#REF!</v>
      </c>
      <c r="X16" s="32">
        <f>COUNTIF(D16:W16,"C")</f>
        <v>0</v>
      </c>
      <c r="Y16" s="32">
        <f>COUNTIF(D16:W16,"NC")</f>
        <v>0</v>
      </c>
      <c r="Z16" s="32">
        <f>COUNTIF(D16:W16,"NA")</f>
        <v>0</v>
      </c>
      <c r="AA16" s="32">
        <f>COUNTIF(D16:W16,"NT")</f>
        <v>1</v>
      </c>
      <c r="AB16" t="str">
        <f>IF(Y16&gt;0,"NC",IF(X16&gt;0,"C",IF(AA16&gt;0,"NT","NA")))</f>
        <v>NT</v>
      </c>
      <c r="AC16">
        <v>3</v>
      </c>
      <c r="AD16" s="30" t="str">
        <f>Critères!$B16</f>
        <v>3.1</v>
      </c>
      <c r="AE16" s="30" t="str">
        <f>Critères!$A16</f>
        <v>COULEURS</v>
      </c>
      <c r="AF16" s="30" t="str">
        <f>'P01'!$E15</f>
        <v>N</v>
      </c>
      <c r="AG16" s="30" t="e">
        <f>#REF!</f>
        <v>#REF!</v>
      </c>
      <c r="AH16" s="30" t="e">
        <f>#REF!</f>
        <v>#REF!</v>
      </c>
      <c r="AI16" s="30" t="e">
        <f>#REF!</f>
        <v>#REF!</v>
      </c>
      <c r="AJ16" s="30" t="e">
        <f>#REF!</f>
        <v>#REF!</v>
      </c>
      <c r="AK16" s="30" t="e">
        <f>#REF!</f>
        <v>#REF!</v>
      </c>
      <c r="AL16" s="30" t="e">
        <f>#REF!</f>
        <v>#REF!</v>
      </c>
      <c r="AM16" s="30" t="e">
        <f>#REF!</f>
        <v>#REF!</v>
      </c>
      <c r="AN16" s="30" t="e">
        <f>#REF!</f>
        <v>#REF!</v>
      </c>
      <c r="AO16" s="30" t="e">
        <f>#REF!</f>
        <v>#REF!</v>
      </c>
      <c r="AP16" s="30" t="e">
        <f>#REF!</f>
        <v>#REF!</v>
      </c>
      <c r="AQ16" s="30" t="e">
        <f>#REF!</f>
        <v>#REF!</v>
      </c>
      <c r="AR16" s="30" t="e">
        <f>#REF!</f>
        <v>#REF!</v>
      </c>
      <c r="AS16" s="30" t="e">
        <f>#REF!</f>
        <v>#REF!</v>
      </c>
      <c r="AT16" s="30" t="e">
        <f>#REF!</f>
        <v>#REF!</v>
      </c>
      <c r="AU16" s="30" t="e">
        <f>#REF!</f>
        <v>#REF!</v>
      </c>
      <c r="AV16" s="30" t="e">
        <f>#REF!</f>
        <v>#REF!</v>
      </c>
      <c r="AW16" s="30" t="e">
        <f>#REF!</f>
        <v>#REF!</v>
      </c>
      <c r="AX16" s="30" t="e">
        <f>#REF!</f>
        <v>#REF!</v>
      </c>
      <c r="AY16" s="30" t="e">
        <f>#REF!</f>
        <v>#REF!</v>
      </c>
      <c r="AZ16" s="32">
        <f>COUNTIF(AF16:AY16,"D")</f>
        <v>0</v>
      </c>
    </row>
    <row r="17" spans="1:52" ht="15.5">
      <c r="A17">
        <v>3</v>
      </c>
      <c r="B17" s="30" t="str">
        <f>Critères!$B17</f>
        <v>3.2</v>
      </c>
      <c r="C17" s="30" t="str">
        <f>Critères!$A16</f>
        <v>COULEURS</v>
      </c>
      <c r="D17" s="30" t="str">
        <f>'P01'!$D16</f>
        <v>NT</v>
      </c>
      <c r="E17" s="30" t="e">
        <f>#REF!</f>
        <v>#REF!</v>
      </c>
      <c r="F17" s="30" t="e">
        <f>#REF!</f>
        <v>#REF!</v>
      </c>
      <c r="G17" s="30" t="e">
        <f>#REF!</f>
        <v>#REF!</v>
      </c>
      <c r="H17" s="30" t="e">
        <f>#REF!</f>
        <v>#REF!</v>
      </c>
      <c r="I17" s="30" t="e">
        <f>#REF!</f>
        <v>#REF!</v>
      </c>
      <c r="J17" s="30" t="e">
        <f>#REF!</f>
        <v>#REF!</v>
      </c>
      <c r="K17" s="30" t="e">
        <f>#REF!</f>
        <v>#REF!</v>
      </c>
      <c r="L17" s="30" t="e">
        <f>#REF!</f>
        <v>#REF!</v>
      </c>
      <c r="M17" s="30" t="e">
        <f>#REF!</f>
        <v>#REF!</v>
      </c>
      <c r="N17" s="30" t="e">
        <f>#REF!</f>
        <v>#REF!</v>
      </c>
      <c r="O17" s="30" t="e">
        <f>#REF!</f>
        <v>#REF!</v>
      </c>
      <c r="P17" s="30" t="e">
        <f>#REF!</f>
        <v>#REF!</v>
      </c>
      <c r="Q17" s="30" t="e">
        <f>#REF!</f>
        <v>#REF!</v>
      </c>
      <c r="R17" s="30" t="e">
        <f>#REF!</f>
        <v>#REF!</v>
      </c>
      <c r="S17" s="30" t="e">
        <f>#REF!</f>
        <v>#REF!</v>
      </c>
      <c r="T17" s="30" t="e">
        <f>#REF!</f>
        <v>#REF!</v>
      </c>
      <c r="U17" s="30" t="e">
        <f>#REF!</f>
        <v>#REF!</v>
      </c>
      <c r="V17" s="30" t="e">
        <f>#REF!</f>
        <v>#REF!</v>
      </c>
      <c r="W17" s="30" t="e">
        <f>#REF!</f>
        <v>#REF!</v>
      </c>
      <c r="X17" s="32">
        <f>COUNTIF(D17:W17,"C")</f>
        <v>0</v>
      </c>
      <c r="Y17" s="32">
        <f>COUNTIF(D17:W17,"NC")</f>
        <v>0</v>
      </c>
      <c r="Z17" s="32">
        <f>COUNTIF(D17:W17,"NA")</f>
        <v>0</v>
      </c>
      <c r="AA17" s="32">
        <f>COUNTIF(D17:W17,"NT")</f>
        <v>1</v>
      </c>
      <c r="AB17" t="str">
        <f>IF(Y17&gt;0,"NC",IF(X17&gt;0,"C",IF(AA17&gt;0,"NT","NA")))</f>
        <v>NT</v>
      </c>
      <c r="AC17" s="2">
        <v>3</v>
      </c>
      <c r="AD17" s="30" t="str">
        <f>Critères!$B17</f>
        <v>3.2</v>
      </c>
      <c r="AE17" s="30" t="str">
        <f>Critères!$A16</f>
        <v>COULEURS</v>
      </c>
      <c r="AF17" s="30" t="str">
        <f>'P01'!$E16</f>
        <v>N</v>
      </c>
      <c r="AG17" s="30" t="e">
        <f>#REF!</f>
        <v>#REF!</v>
      </c>
      <c r="AH17" s="30" t="e">
        <f>#REF!</f>
        <v>#REF!</v>
      </c>
      <c r="AI17" s="30" t="e">
        <f>#REF!</f>
        <v>#REF!</v>
      </c>
      <c r="AJ17" s="30" t="e">
        <f>#REF!</f>
        <v>#REF!</v>
      </c>
      <c r="AK17" s="30" t="e">
        <f>#REF!</f>
        <v>#REF!</v>
      </c>
      <c r="AL17" s="30" t="e">
        <f>#REF!</f>
        <v>#REF!</v>
      </c>
      <c r="AM17" s="30" t="e">
        <f>#REF!</f>
        <v>#REF!</v>
      </c>
      <c r="AN17" s="30" t="e">
        <f>#REF!</f>
        <v>#REF!</v>
      </c>
      <c r="AO17" s="30" t="e">
        <f>#REF!</f>
        <v>#REF!</v>
      </c>
      <c r="AP17" s="30" t="e">
        <f>#REF!</f>
        <v>#REF!</v>
      </c>
      <c r="AQ17" s="30" t="e">
        <f>#REF!</f>
        <v>#REF!</v>
      </c>
      <c r="AR17" s="30" t="e">
        <f>#REF!</f>
        <v>#REF!</v>
      </c>
      <c r="AS17" s="30" t="e">
        <f>#REF!</f>
        <v>#REF!</v>
      </c>
      <c r="AT17" s="30" t="e">
        <f>#REF!</f>
        <v>#REF!</v>
      </c>
      <c r="AU17" s="30" t="e">
        <f>#REF!</f>
        <v>#REF!</v>
      </c>
      <c r="AV17" s="30" t="e">
        <f>#REF!</f>
        <v>#REF!</v>
      </c>
      <c r="AW17" s="30" t="e">
        <f>#REF!</f>
        <v>#REF!</v>
      </c>
      <c r="AX17" s="30" t="e">
        <f>#REF!</f>
        <v>#REF!</v>
      </c>
      <c r="AY17" s="30" t="e">
        <f>#REF!</f>
        <v>#REF!</v>
      </c>
      <c r="AZ17" s="32">
        <f>COUNTIF(AF17:AY17,"D")</f>
        <v>0</v>
      </c>
    </row>
    <row r="18" spans="1:52" ht="15.5">
      <c r="A18">
        <v>3</v>
      </c>
      <c r="B18" s="30" t="str">
        <f>Critères!$B18</f>
        <v>3.3</v>
      </c>
      <c r="C18" s="30" t="str">
        <f>Critères!$A16</f>
        <v>COULEURS</v>
      </c>
      <c r="D18" s="30" t="str">
        <f>'P01'!$D17</f>
        <v>NT</v>
      </c>
      <c r="E18" s="30" t="e">
        <f>#REF!</f>
        <v>#REF!</v>
      </c>
      <c r="F18" s="30" t="e">
        <f>#REF!</f>
        <v>#REF!</v>
      </c>
      <c r="G18" s="30" t="e">
        <f>#REF!</f>
        <v>#REF!</v>
      </c>
      <c r="H18" s="30" t="e">
        <f>#REF!</f>
        <v>#REF!</v>
      </c>
      <c r="I18" s="30" t="e">
        <f>#REF!</f>
        <v>#REF!</v>
      </c>
      <c r="J18" s="30" t="e">
        <f>#REF!</f>
        <v>#REF!</v>
      </c>
      <c r="K18" s="30" t="e">
        <f>#REF!</f>
        <v>#REF!</v>
      </c>
      <c r="L18" s="30" t="e">
        <f>#REF!</f>
        <v>#REF!</v>
      </c>
      <c r="M18" s="30" t="e">
        <f>#REF!</f>
        <v>#REF!</v>
      </c>
      <c r="N18" s="30" t="e">
        <f>#REF!</f>
        <v>#REF!</v>
      </c>
      <c r="O18" s="30" t="e">
        <f>#REF!</f>
        <v>#REF!</v>
      </c>
      <c r="P18" s="30" t="e">
        <f>#REF!</f>
        <v>#REF!</v>
      </c>
      <c r="Q18" s="30" t="e">
        <f>#REF!</f>
        <v>#REF!</v>
      </c>
      <c r="R18" s="30" t="e">
        <f>#REF!</f>
        <v>#REF!</v>
      </c>
      <c r="S18" s="30" t="e">
        <f>#REF!</f>
        <v>#REF!</v>
      </c>
      <c r="T18" s="30" t="e">
        <f>#REF!</f>
        <v>#REF!</v>
      </c>
      <c r="U18" s="30" t="e">
        <f>#REF!</f>
        <v>#REF!</v>
      </c>
      <c r="V18" s="30" t="e">
        <f>#REF!</f>
        <v>#REF!</v>
      </c>
      <c r="W18" s="30" t="e">
        <f>#REF!</f>
        <v>#REF!</v>
      </c>
      <c r="X18" s="32">
        <f>COUNTIF(D18:W18,"C")</f>
        <v>0</v>
      </c>
      <c r="Y18" s="32">
        <f>COUNTIF(D18:W18,"NC")</f>
        <v>0</v>
      </c>
      <c r="Z18" s="32">
        <f>COUNTIF(D18:W18,"NA")</f>
        <v>0</v>
      </c>
      <c r="AA18" s="32">
        <f>COUNTIF(D18:W18,"NT")</f>
        <v>1</v>
      </c>
      <c r="AB18" t="str">
        <f>IF(Y18&gt;0,"NC",IF(X18&gt;0,"C",IF(AA18&gt;0,"NT","NA")))</f>
        <v>NT</v>
      </c>
      <c r="AC18" s="2">
        <v>3</v>
      </c>
      <c r="AD18" s="30" t="str">
        <f>Critères!$B18</f>
        <v>3.3</v>
      </c>
      <c r="AE18" s="30" t="str">
        <f>Critères!$A16</f>
        <v>COULEURS</v>
      </c>
      <c r="AF18" s="30" t="str">
        <f>'P01'!$E17</f>
        <v>N</v>
      </c>
      <c r="AG18" s="30" t="e">
        <f>#REF!</f>
        <v>#REF!</v>
      </c>
      <c r="AH18" s="30" t="e">
        <f>#REF!</f>
        <v>#REF!</v>
      </c>
      <c r="AI18" s="30" t="e">
        <f>#REF!</f>
        <v>#REF!</v>
      </c>
      <c r="AJ18" s="30" t="e">
        <f>#REF!</f>
        <v>#REF!</v>
      </c>
      <c r="AK18" s="30" t="e">
        <f>#REF!</f>
        <v>#REF!</v>
      </c>
      <c r="AL18" s="30" t="e">
        <f>#REF!</f>
        <v>#REF!</v>
      </c>
      <c r="AM18" s="30" t="e">
        <f>#REF!</f>
        <v>#REF!</v>
      </c>
      <c r="AN18" s="30" t="e">
        <f>#REF!</f>
        <v>#REF!</v>
      </c>
      <c r="AO18" s="30" t="e">
        <f>#REF!</f>
        <v>#REF!</v>
      </c>
      <c r="AP18" s="30" t="e">
        <f>#REF!</f>
        <v>#REF!</v>
      </c>
      <c r="AQ18" s="30" t="e">
        <f>#REF!</f>
        <v>#REF!</v>
      </c>
      <c r="AR18" s="30" t="e">
        <f>#REF!</f>
        <v>#REF!</v>
      </c>
      <c r="AS18" s="30" t="e">
        <f>#REF!</f>
        <v>#REF!</v>
      </c>
      <c r="AT18" s="30" t="e">
        <f>#REF!</f>
        <v>#REF!</v>
      </c>
      <c r="AU18" s="30" t="e">
        <f>#REF!</f>
        <v>#REF!</v>
      </c>
      <c r="AV18" s="30" t="e">
        <f>#REF!</f>
        <v>#REF!</v>
      </c>
      <c r="AW18" s="30" t="e">
        <f>#REF!</f>
        <v>#REF!</v>
      </c>
      <c r="AX18" s="30" t="e">
        <f>#REF!</f>
        <v>#REF!</v>
      </c>
      <c r="AY18" s="30" t="e">
        <f>#REF!</f>
        <v>#REF!</v>
      </c>
      <c r="AZ18" s="32">
        <f>COUNTIF(AF18:AY18,"D")</f>
        <v>0</v>
      </c>
    </row>
    <row r="19" spans="1:52" ht="15.5">
      <c r="A19" s="3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6">
        <f>SUM(X16:X18)</f>
        <v>0</v>
      </c>
      <c r="Y19" s="36">
        <f>SUM(Y16:Y18)</f>
        <v>0</v>
      </c>
      <c r="Z19" s="36">
        <f>SUM(Z16:Z18)</f>
        <v>0</v>
      </c>
      <c r="AA19" s="36">
        <f>SUM(AA16:AA18)</f>
        <v>3</v>
      </c>
      <c r="AC19" s="3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6">
        <f>SUM(AZ16:AZ18)</f>
        <v>0</v>
      </c>
    </row>
    <row r="20" spans="1:52" ht="15.5">
      <c r="A20">
        <v>4</v>
      </c>
      <c r="B20" s="30" t="str">
        <f>Critères!$B20</f>
        <v>4.1</v>
      </c>
      <c r="C20" s="30" t="str">
        <f>Critères!$A20</f>
        <v>MULTIMÉDIA</v>
      </c>
      <c r="D20" s="30" t="str">
        <f>'P01'!$D18</f>
        <v>NT</v>
      </c>
      <c r="E20" s="30" t="e">
        <f>#REF!</f>
        <v>#REF!</v>
      </c>
      <c r="F20" s="30" t="e">
        <f>#REF!</f>
        <v>#REF!</v>
      </c>
      <c r="G20" s="30" t="e">
        <f>#REF!</f>
        <v>#REF!</v>
      </c>
      <c r="H20" s="30" t="e">
        <f>#REF!</f>
        <v>#REF!</v>
      </c>
      <c r="I20" s="30" t="e">
        <f>#REF!</f>
        <v>#REF!</v>
      </c>
      <c r="J20" s="30" t="e">
        <f>#REF!</f>
        <v>#REF!</v>
      </c>
      <c r="K20" s="30" t="e">
        <f>#REF!</f>
        <v>#REF!</v>
      </c>
      <c r="L20" s="30" t="e">
        <f>#REF!</f>
        <v>#REF!</v>
      </c>
      <c r="M20" s="30" t="e">
        <f>#REF!</f>
        <v>#REF!</v>
      </c>
      <c r="N20" s="30" t="e">
        <f>#REF!</f>
        <v>#REF!</v>
      </c>
      <c r="O20" s="30" t="e">
        <f>#REF!</f>
        <v>#REF!</v>
      </c>
      <c r="P20" s="30" t="e">
        <f>#REF!</f>
        <v>#REF!</v>
      </c>
      <c r="Q20" s="30" t="e">
        <f>#REF!</f>
        <v>#REF!</v>
      </c>
      <c r="R20" s="30" t="e">
        <f>#REF!</f>
        <v>#REF!</v>
      </c>
      <c r="S20" s="30" t="e">
        <f>#REF!</f>
        <v>#REF!</v>
      </c>
      <c r="T20" s="30" t="e">
        <f>#REF!</f>
        <v>#REF!</v>
      </c>
      <c r="U20" s="30" t="e">
        <f>#REF!</f>
        <v>#REF!</v>
      </c>
      <c r="V20" s="30" t="e">
        <f>#REF!</f>
        <v>#REF!</v>
      </c>
      <c r="W20" s="30" t="e">
        <f>#REF!</f>
        <v>#REF!</v>
      </c>
      <c r="X20" s="32">
        <f t="shared" ref="X20:X32" si="6">COUNTIF(D20:W20,"C")</f>
        <v>0</v>
      </c>
      <c r="Y20" s="32">
        <f t="shared" ref="Y20:Y32" si="7">COUNTIF(D20:W20,"NC")</f>
        <v>0</v>
      </c>
      <c r="Z20" s="32">
        <f t="shared" ref="Z20:Z32" si="8">COUNTIF(D20:W20,"NA")</f>
        <v>0</v>
      </c>
      <c r="AA20" s="32">
        <f t="shared" ref="AA20:AA32" si="9">COUNTIF(D20:W20,"NT")</f>
        <v>1</v>
      </c>
      <c r="AB20" t="str">
        <f t="shared" ref="AB20:AB32" si="10">IF(Y20&gt;0,"NC",IF(X20&gt;0,"C",IF(AA20&gt;0,"NT","NA")))</f>
        <v>NT</v>
      </c>
      <c r="AC20">
        <v>4</v>
      </c>
      <c r="AD20" s="30" t="str">
        <f>Critères!$B20</f>
        <v>4.1</v>
      </c>
      <c r="AE20" s="30" t="str">
        <f>Critères!$A20</f>
        <v>MULTIMÉDIA</v>
      </c>
      <c r="AF20" s="30" t="str">
        <f>'P01'!$E18</f>
        <v>N</v>
      </c>
      <c r="AG20" s="30" t="e">
        <f>#REF!</f>
        <v>#REF!</v>
      </c>
      <c r="AH20" s="30" t="e">
        <f>#REF!</f>
        <v>#REF!</v>
      </c>
      <c r="AI20" s="30" t="e">
        <f>#REF!</f>
        <v>#REF!</v>
      </c>
      <c r="AJ20" s="30" t="e">
        <f>#REF!</f>
        <v>#REF!</v>
      </c>
      <c r="AK20" s="30" t="e">
        <f>#REF!</f>
        <v>#REF!</v>
      </c>
      <c r="AL20" s="30" t="e">
        <f>#REF!</f>
        <v>#REF!</v>
      </c>
      <c r="AM20" s="30" t="e">
        <f>#REF!</f>
        <v>#REF!</v>
      </c>
      <c r="AN20" s="30" t="e">
        <f>#REF!</f>
        <v>#REF!</v>
      </c>
      <c r="AO20" s="30" t="e">
        <f>#REF!</f>
        <v>#REF!</v>
      </c>
      <c r="AP20" s="30" t="e">
        <f>#REF!</f>
        <v>#REF!</v>
      </c>
      <c r="AQ20" s="30" t="e">
        <f>#REF!</f>
        <v>#REF!</v>
      </c>
      <c r="AR20" s="30" t="e">
        <f>#REF!</f>
        <v>#REF!</v>
      </c>
      <c r="AS20" s="30" t="e">
        <f>#REF!</f>
        <v>#REF!</v>
      </c>
      <c r="AT20" s="30" t="e">
        <f>#REF!</f>
        <v>#REF!</v>
      </c>
      <c r="AU20" s="30" t="e">
        <f>#REF!</f>
        <v>#REF!</v>
      </c>
      <c r="AV20" s="30" t="e">
        <f>#REF!</f>
        <v>#REF!</v>
      </c>
      <c r="AW20" s="30" t="e">
        <f>#REF!</f>
        <v>#REF!</v>
      </c>
      <c r="AX20" s="30" t="e">
        <f>#REF!</f>
        <v>#REF!</v>
      </c>
      <c r="AY20" s="30" t="e">
        <f>#REF!</f>
        <v>#REF!</v>
      </c>
      <c r="AZ20" s="32">
        <f t="shared" ref="AZ20:AZ32" si="11">COUNTIF(AF20:AY20,"D")</f>
        <v>0</v>
      </c>
    </row>
    <row r="21" spans="1:52" ht="15.5">
      <c r="A21">
        <v>4</v>
      </c>
      <c r="B21" s="30" t="str">
        <f>Critères!$B21</f>
        <v>4.2</v>
      </c>
      <c r="C21" s="30" t="str">
        <f>Critères!$A20</f>
        <v>MULTIMÉDIA</v>
      </c>
      <c r="D21" s="30" t="str">
        <f>'P01'!$D19</f>
        <v>NT</v>
      </c>
      <c r="E21" s="30" t="e">
        <f>#REF!</f>
        <v>#REF!</v>
      </c>
      <c r="F21" s="30" t="e">
        <f>#REF!</f>
        <v>#REF!</v>
      </c>
      <c r="G21" s="30" t="e">
        <f>#REF!</f>
        <v>#REF!</v>
      </c>
      <c r="H21" s="30" t="e">
        <f>#REF!</f>
        <v>#REF!</v>
      </c>
      <c r="I21" s="30" t="e">
        <f>#REF!</f>
        <v>#REF!</v>
      </c>
      <c r="J21" s="30" t="e">
        <f>#REF!</f>
        <v>#REF!</v>
      </c>
      <c r="K21" s="30" t="e">
        <f>#REF!</f>
        <v>#REF!</v>
      </c>
      <c r="L21" s="30" t="e">
        <f>#REF!</f>
        <v>#REF!</v>
      </c>
      <c r="M21" s="30" t="e">
        <f>#REF!</f>
        <v>#REF!</v>
      </c>
      <c r="N21" s="30" t="e">
        <f>#REF!</f>
        <v>#REF!</v>
      </c>
      <c r="O21" s="30" t="e">
        <f>#REF!</f>
        <v>#REF!</v>
      </c>
      <c r="P21" s="30" t="e">
        <f>#REF!</f>
        <v>#REF!</v>
      </c>
      <c r="Q21" s="30" t="e">
        <f>#REF!</f>
        <v>#REF!</v>
      </c>
      <c r="R21" s="30" t="e">
        <f>#REF!</f>
        <v>#REF!</v>
      </c>
      <c r="S21" s="30" t="e">
        <f>#REF!</f>
        <v>#REF!</v>
      </c>
      <c r="T21" s="30" t="e">
        <f>#REF!</f>
        <v>#REF!</v>
      </c>
      <c r="U21" s="30" t="e">
        <f>#REF!</f>
        <v>#REF!</v>
      </c>
      <c r="V21" s="30" t="e">
        <f>#REF!</f>
        <v>#REF!</v>
      </c>
      <c r="W21" s="30" t="e">
        <f>#REF!</f>
        <v>#REF!</v>
      </c>
      <c r="X21" s="32">
        <f t="shared" si="6"/>
        <v>0</v>
      </c>
      <c r="Y21" s="32">
        <f t="shared" si="7"/>
        <v>0</v>
      </c>
      <c r="Z21" s="32">
        <f t="shared" si="8"/>
        <v>0</v>
      </c>
      <c r="AA21" s="32">
        <f t="shared" si="9"/>
        <v>1</v>
      </c>
      <c r="AB21" t="str">
        <f t="shared" si="10"/>
        <v>NT</v>
      </c>
      <c r="AC21">
        <v>4</v>
      </c>
      <c r="AD21" s="30" t="str">
        <f>Critères!$B21</f>
        <v>4.2</v>
      </c>
      <c r="AE21" s="30" t="str">
        <f>Critères!$A20</f>
        <v>MULTIMÉDIA</v>
      </c>
      <c r="AF21" s="30" t="str">
        <f>'P01'!$E19</f>
        <v>N</v>
      </c>
      <c r="AG21" s="30" t="e">
        <f>#REF!</f>
        <v>#REF!</v>
      </c>
      <c r="AH21" s="30" t="e">
        <f>#REF!</f>
        <v>#REF!</v>
      </c>
      <c r="AI21" s="30" t="e">
        <f>#REF!</f>
        <v>#REF!</v>
      </c>
      <c r="AJ21" s="30" t="e">
        <f>#REF!</f>
        <v>#REF!</v>
      </c>
      <c r="AK21" s="30" t="e">
        <f>#REF!</f>
        <v>#REF!</v>
      </c>
      <c r="AL21" s="30" t="e">
        <f>#REF!</f>
        <v>#REF!</v>
      </c>
      <c r="AM21" s="30" t="e">
        <f>#REF!</f>
        <v>#REF!</v>
      </c>
      <c r="AN21" s="30" t="e">
        <f>#REF!</f>
        <v>#REF!</v>
      </c>
      <c r="AO21" s="30" t="e">
        <f>#REF!</f>
        <v>#REF!</v>
      </c>
      <c r="AP21" s="30" t="e">
        <f>#REF!</f>
        <v>#REF!</v>
      </c>
      <c r="AQ21" s="30" t="e">
        <f>#REF!</f>
        <v>#REF!</v>
      </c>
      <c r="AR21" s="30" t="e">
        <f>#REF!</f>
        <v>#REF!</v>
      </c>
      <c r="AS21" s="30" t="e">
        <f>#REF!</f>
        <v>#REF!</v>
      </c>
      <c r="AT21" s="30" t="e">
        <f>#REF!</f>
        <v>#REF!</v>
      </c>
      <c r="AU21" s="30" t="e">
        <f>#REF!</f>
        <v>#REF!</v>
      </c>
      <c r="AV21" s="30" t="e">
        <f>#REF!</f>
        <v>#REF!</v>
      </c>
      <c r="AW21" s="30" t="e">
        <f>#REF!</f>
        <v>#REF!</v>
      </c>
      <c r="AX21" s="30" t="e">
        <f>#REF!</f>
        <v>#REF!</v>
      </c>
      <c r="AY21" s="30" t="e">
        <f>#REF!</f>
        <v>#REF!</v>
      </c>
      <c r="AZ21" s="32">
        <f t="shared" si="11"/>
        <v>0</v>
      </c>
    </row>
    <row r="22" spans="1:52" ht="15.5">
      <c r="A22">
        <v>4</v>
      </c>
      <c r="B22" s="30" t="str">
        <f>Critères!$B22</f>
        <v>4.3</v>
      </c>
      <c r="C22" s="30" t="str">
        <f>Critères!$A20</f>
        <v>MULTIMÉDIA</v>
      </c>
      <c r="D22" s="30" t="str">
        <f>'P01'!$D20</f>
        <v>NT</v>
      </c>
      <c r="E22" s="30" t="e">
        <f>#REF!</f>
        <v>#REF!</v>
      </c>
      <c r="F22" s="30" t="e">
        <f>#REF!</f>
        <v>#REF!</v>
      </c>
      <c r="G22" s="30" t="e">
        <f>#REF!</f>
        <v>#REF!</v>
      </c>
      <c r="H22" s="30" t="e">
        <f>#REF!</f>
        <v>#REF!</v>
      </c>
      <c r="I22" s="30" t="e">
        <f>#REF!</f>
        <v>#REF!</v>
      </c>
      <c r="J22" s="30" t="e">
        <f>#REF!</f>
        <v>#REF!</v>
      </c>
      <c r="K22" s="30" t="e">
        <f>#REF!</f>
        <v>#REF!</v>
      </c>
      <c r="L22" s="30" t="e">
        <f>#REF!</f>
        <v>#REF!</v>
      </c>
      <c r="M22" s="30" t="e">
        <f>#REF!</f>
        <v>#REF!</v>
      </c>
      <c r="N22" s="30" t="e">
        <f>#REF!</f>
        <v>#REF!</v>
      </c>
      <c r="O22" s="30" t="e">
        <f>#REF!</f>
        <v>#REF!</v>
      </c>
      <c r="P22" s="30" t="e">
        <f>#REF!</f>
        <v>#REF!</v>
      </c>
      <c r="Q22" s="30" t="e">
        <f>#REF!</f>
        <v>#REF!</v>
      </c>
      <c r="R22" s="30" t="e">
        <f>#REF!</f>
        <v>#REF!</v>
      </c>
      <c r="S22" s="30" t="e">
        <f>#REF!</f>
        <v>#REF!</v>
      </c>
      <c r="T22" s="30" t="e">
        <f>#REF!</f>
        <v>#REF!</v>
      </c>
      <c r="U22" s="30" t="e">
        <f>#REF!</f>
        <v>#REF!</v>
      </c>
      <c r="V22" s="30" t="e">
        <f>#REF!</f>
        <v>#REF!</v>
      </c>
      <c r="W22" s="30" t="e">
        <f>#REF!</f>
        <v>#REF!</v>
      </c>
      <c r="X22" s="32">
        <f t="shared" si="6"/>
        <v>0</v>
      </c>
      <c r="Y22" s="32">
        <f t="shared" si="7"/>
        <v>0</v>
      </c>
      <c r="Z22" s="32">
        <f t="shared" si="8"/>
        <v>0</v>
      </c>
      <c r="AA22" s="32">
        <f t="shared" si="9"/>
        <v>1</v>
      </c>
      <c r="AB22" t="str">
        <f t="shared" si="10"/>
        <v>NT</v>
      </c>
      <c r="AC22">
        <v>4</v>
      </c>
      <c r="AD22" s="30" t="str">
        <f>Critères!$B22</f>
        <v>4.3</v>
      </c>
      <c r="AE22" s="30" t="str">
        <f>Critères!$A20</f>
        <v>MULTIMÉDIA</v>
      </c>
      <c r="AF22" s="30" t="str">
        <f>'P01'!$E20</f>
        <v>N</v>
      </c>
      <c r="AG22" s="30" t="e">
        <f>#REF!</f>
        <v>#REF!</v>
      </c>
      <c r="AH22" s="30" t="e">
        <f>#REF!</f>
        <v>#REF!</v>
      </c>
      <c r="AI22" s="30" t="e">
        <f>#REF!</f>
        <v>#REF!</v>
      </c>
      <c r="AJ22" s="30" t="e">
        <f>#REF!</f>
        <v>#REF!</v>
      </c>
      <c r="AK22" s="30" t="e">
        <f>#REF!</f>
        <v>#REF!</v>
      </c>
      <c r="AL22" s="30" t="e">
        <f>#REF!</f>
        <v>#REF!</v>
      </c>
      <c r="AM22" s="30" t="e">
        <f>#REF!</f>
        <v>#REF!</v>
      </c>
      <c r="AN22" s="30" t="e">
        <f>#REF!</f>
        <v>#REF!</v>
      </c>
      <c r="AO22" s="30" t="e">
        <f>#REF!</f>
        <v>#REF!</v>
      </c>
      <c r="AP22" s="30" t="e">
        <f>#REF!</f>
        <v>#REF!</v>
      </c>
      <c r="AQ22" s="30" t="e">
        <f>#REF!</f>
        <v>#REF!</v>
      </c>
      <c r="AR22" s="30" t="e">
        <f>#REF!</f>
        <v>#REF!</v>
      </c>
      <c r="AS22" s="30" t="e">
        <f>#REF!</f>
        <v>#REF!</v>
      </c>
      <c r="AT22" s="30" t="e">
        <f>#REF!</f>
        <v>#REF!</v>
      </c>
      <c r="AU22" s="30" t="e">
        <f>#REF!</f>
        <v>#REF!</v>
      </c>
      <c r="AV22" s="30" t="e">
        <f>#REF!</f>
        <v>#REF!</v>
      </c>
      <c r="AW22" s="30" t="e">
        <f>#REF!</f>
        <v>#REF!</v>
      </c>
      <c r="AX22" s="30" t="e">
        <f>#REF!</f>
        <v>#REF!</v>
      </c>
      <c r="AY22" s="30" t="e">
        <f>#REF!</f>
        <v>#REF!</v>
      </c>
      <c r="AZ22" s="32">
        <f t="shared" si="11"/>
        <v>0</v>
      </c>
    </row>
    <row r="23" spans="1:52" ht="15.5">
      <c r="A23">
        <v>4</v>
      </c>
      <c r="B23" s="30" t="str">
        <f>Critères!$B23</f>
        <v>4.4</v>
      </c>
      <c r="C23" s="30" t="str">
        <f>Critères!$A20</f>
        <v>MULTIMÉDIA</v>
      </c>
      <c r="D23" s="30" t="str">
        <f>'P01'!$D21</f>
        <v>NT</v>
      </c>
      <c r="E23" s="30" t="e">
        <f>#REF!</f>
        <v>#REF!</v>
      </c>
      <c r="F23" s="30" t="e">
        <f>#REF!</f>
        <v>#REF!</v>
      </c>
      <c r="G23" s="30" t="e">
        <f>#REF!</f>
        <v>#REF!</v>
      </c>
      <c r="H23" s="30" t="e">
        <f>#REF!</f>
        <v>#REF!</v>
      </c>
      <c r="I23" s="30" t="e">
        <f>#REF!</f>
        <v>#REF!</v>
      </c>
      <c r="J23" s="30" t="e">
        <f>#REF!</f>
        <v>#REF!</v>
      </c>
      <c r="K23" s="30" t="e">
        <f>#REF!</f>
        <v>#REF!</v>
      </c>
      <c r="L23" s="30" t="e">
        <f>#REF!</f>
        <v>#REF!</v>
      </c>
      <c r="M23" s="30" t="e">
        <f>#REF!</f>
        <v>#REF!</v>
      </c>
      <c r="N23" s="30" t="e">
        <f>#REF!</f>
        <v>#REF!</v>
      </c>
      <c r="O23" s="30" t="e">
        <f>#REF!</f>
        <v>#REF!</v>
      </c>
      <c r="P23" s="30" t="e">
        <f>#REF!</f>
        <v>#REF!</v>
      </c>
      <c r="Q23" s="30" t="e">
        <f>#REF!</f>
        <v>#REF!</v>
      </c>
      <c r="R23" s="30" t="e">
        <f>#REF!</f>
        <v>#REF!</v>
      </c>
      <c r="S23" s="30" t="e">
        <f>#REF!</f>
        <v>#REF!</v>
      </c>
      <c r="T23" s="30" t="e">
        <f>#REF!</f>
        <v>#REF!</v>
      </c>
      <c r="U23" s="30" t="e">
        <f>#REF!</f>
        <v>#REF!</v>
      </c>
      <c r="V23" s="30" t="e">
        <f>#REF!</f>
        <v>#REF!</v>
      </c>
      <c r="W23" s="30" t="e">
        <f>#REF!</f>
        <v>#REF!</v>
      </c>
      <c r="X23" s="32">
        <f t="shared" si="6"/>
        <v>0</v>
      </c>
      <c r="Y23" s="32">
        <f t="shared" si="7"/>
        <v>0</v>
      </c>
      <c r="Z23" s="32">
        <f t="shared" si="8"/>
        <v>0</v>
      </c>
      <c r="AA23" s="32">
        <f t="shared" si="9"/>
        <v>1</v>
      </c>
      <c r="AB23" t="str">
        <f t="shared" si="10"/>
        <v>NT</v>
      </c>
      <c r="AC23">
        <v>4</v>
      </c>
      <c r="AD23" s="30" t="str">
        <f>Critères!$B23</f>
        <v>4.4</v>
      </c>
      <c r="AE23" s="30" t="str">
        <f>Critères!$A20</f>
        <v>MULTIMÉDIA</v>
      </c>
      <c r="AF23" s="30" t="str">
        <f>'P01'!$E21</f>
        <v>N</v>
      </c>
      <c r="AG23" s="30" t="e">
        <f>#REF!</f>
        <v>#REF!</v>
      </c>
      <c r="AH23" s="30" t="e">
        <f>#REF!</f>
        <v>#REF!</v>
      </c>
      <c r="AI23" s="30" t="e">
        <f>#REF!</f>
        <v>#REF!</v>
      </c>
      <c r="AJ23" s="30" t="e">
        <f>#REF!</f>
        <v>#REF!</v>
      </c>
      <c r="AK23" s="30" t="e">
        <f>#REF!</f>
        <v>#REF!</v>
      </c>
      <c r="AL23" s="30" t="e">
        <f>#REF!</f>
        <v>#REF!</v>
      </c>
      <c r="AM23" s="30" t="e">
        <f>#REF!</f>
        <v>#REF!</v>
      </c>
      <c r="AN23" s="30" t="e">
        <f>#REF!</f>
        <v>#REF!</v>
      </c>
      <c r="AO23" s="30" t="e">
        <f>#REF!</f>
        <v>#REF!</v>
      </c>
      <c r="AP23" s="30" t="e">
        <f>#REF!</f>
        <v>#REF!</v>
      </c>
      <c r="AQ23" s="30" t="e">
        <f>#REF!</f>
        <v>#REF!</v>
      </c>
      <c r="AR23" s="30" t="e">
        <f>#REF!</f>
        <v>#REF!</v>
      </c>
      <c r="AS23" s="30" t="e">
        <f>#REF!</f>
        <v>#REF!</v>
      </c>
      <c r="AT23" s="30" t="e">
        <f>#REF!</f>
        <v>#REF!</v>
      </c>
      <c r="AU23" s="30" t="e">
        <f>#REF!</f>
        <v>#REF!</v>
      </c>
      <c r="AV23" s="30" t="e">
        <f>#REF!</f>
        <v>#REF!</v>
      </c>
      <c r="AW23" s="30" t="e">
        <f>#REF!</f>
        <v>#REF!</v>
      </c>
      <c r="AX23" s="30" t="e">
        <f>#REF!</f>
        <v>#REF!</v>
      </c>
      <c r="AY23" s="30" t="e">
        <f>#REF!</f>
        <v>#REF!</v>
      </c>
      <c r="AZ23" s="32">
        <f t="shared" si="11"/>
        <v>0</v>
      </c>
    </row>
    <row r="24" spans="1:52" ht="15.5">
      <c r="A24">
        <v>4</v>
      </c>
      <c r="B24" s="30" t="str">
        <f>Critères!$B24</f>
        <v>4.5</v>
      </c>
      <c r="C24" s="30" t="str">
        <f>Critères!$A20</f>
        <v>MULTIMÉDIA</v>
      </c>
      <c r="D24" s="30" t="str">
        <f>'P01'!$D22</f>
        <v>NT</v>
      </c>
      <c r="E24" s="30" t="e">
        <f>#REF!</f>
        <v>#REF!</v>
      </c>
      <c r="F24" s="30" t="e">
        <f>#REF!</f>
        <v>#REF!</v>
      </c>
      <c r="G24" s="30" t="e">
        <f>#REF!</f>
        <v>#REF!</v>
      </c>
      <c r="H24" s="30" t="e">
        <f>#REF!</f>
        <v>#REF!</v>
      </c>
      <c r="I24" s="30" t="e">
        <f>#REF!</f>
        <v>#REF!</v>
      </c>
      <c r="J24" s="30" t="e">
        <f>#REF!</f>
        <v>#REF!</v>
      </c>
      <c r="K24" s="30" t="e">
        <f>#REF!</f>
        <v>#REF!</v>
      </c>
      <c r="L24" s="30" t="e">
        <f>#REF!</f>
        <v>#REF!</v>
      </c>
      <c r="M24" s="30" t="e">
        <f>#REF!</f>
        <v>#REF!</v>
      </c>
      <c r="N24" s="30" t="e">
        <f>#REF!</f>
        <v>#REF!</v>
      </c>
      <c r="O24" s="30" t="e">
        <f>#REF!</f>
        <v>#REF!</v>
      </c>
      <c r="P24" s="30" t="e">
        <f>#REF!</f>
        <v>#REF!</v>
      </c>
      <c r="Q24" s="30" t="e">
        <f>#REF!</f>
        <v>#REF!</v>
      </c>
      <c r="R24" s="30" t="e">
        <f>#REF!</f>
        <v>#REF!</v>
      </c>
      <c r="S24" s="30" t="e">
        <f>#REF!</f>
        <v>#REF!</v>
      </c>
      <c r="T24" s="30" t="e">
        <f>#REF!</f>
        <v>#REF!</v>
      </c>
      <c r="U24" s="30" t="e">
        <f>#REF!</f>
        <v>#REF!</v>
      </c>
      <c r="V24" s="30" t="e">
        <f>#REF!</f>
        <v>#REF!</v>
      </c>
      <c r="W24" s="30" t="e">
        <f>#REF!</f>
        <v>#REF!</v>
      </c>
      <c r="X24" s="32">
        <f t="shared" si="6"/>
        <v>0</v>
      </c>
      <c r="Y24" s="32">
        <f t="shared" si="7"/>
        <v>0</v>
      </c>
      <c r="Z24" s="32">
        <f t="shared" si="8"/>
        <v>0</v>
      </c>
      <c r="AA24" s="32">
        <f t="shared" si="9"/>
        <v>1</v>
      </c>
      <c r="AB24" t="str">
        <f t="shared" si="10"/>
        <v>NT</v>
      </c>
      <c r="AC24">
        <v>4</v>
      </c>
      <c r="AD24" s="30" t="str">
        <f>Critères!$B24</f>
        <v>4.5</v>
      </c>
      <c r="AE24" s="30" t="str">
        <f>Critères!$A20</f>
        <v>MULTIMÉDIA</v>
      </c>
      <c r="AF24" s="30" t="str">
        <f>'P01'!$E22</f>
        <v>N</v>
      </c>
      <c r="AG24" s="30" t="e">
        <f>#REF!</f>
        <v>#REF!</v>
      </c>
      <c r="AH24" s="30" t="e">
        <f>#REF!</f>
        <v>#REF!</v>
      </c>
      <c r="AI24" s="30" t="e">
        <f>#REF!</f>
        <v>#REF!</v>
      </c>
      <c r="AJ24" s="30" t="e">
        <f>#REF!</f>
        <v>#REF!</v>
      </c>
      <c r="AK24" s="30" t="e">
        <f>#REF!</f>
        <v>#REF!</v>
      </c>
      <c r="AL24" s="30" t="e">
        <f>#REF!</f>
        <v>#REF!</v>
      </c>
      <c r="AM24" s="30" t="e">
        <f>#REF!</f>
        <v>#REF!</v>
      </c>
      <c r="AN24" s="30" t="e">
        <f>#REF!</f>
        <v>#REF!</v>
      </c>
      <c r="AO24" s="30" t="e">
        <f>#REF!</f>
        <v>#REF!</v>
      </c>
      <c r="AP24" s="30" t="e">
        <f>#REF!</f>
        <v>#REF!</v>
      </c>
      <c r="AQ24" s="30" t="e">
        <f>#REF!</f>
        <v>#REF!</v>
      </c>
      <c r="AR24" s="30" t="e">
        <f>#REF!</f>
        <v>#REF!</v>
      </c>
      <c r="AS24" s="30" t="e">
        <f>#REF!</f>
        <v>#REF!</v>
      </c>
      <c r="AT24" s="30" t="e">
        <f>#REF!</f>
        <v>#REF!</v>
      </c>
      <c r="AU24" s="30" t="e">
        <f>#REF!</f>
        <v>#REF!</v>
      </c>
      <c r="AV24" s="30" t="e">
        <f>#REF!</f>
        <v>#REF!</v>
      </c>
      <c r="AW24" s="30" t="e">
        <f>#REF!</f>
        <v>#REF!</v>
      </c>
      <c r="AX24" s="30" t="e">
        <f>#REF!</f>
        <v>#REF!</v>
      </c>
      <c r="AY24" s="30" t="e">
        <f>#REF!</f>
        <v>#REF!</v>
      </c>
      <c r="AZ24" s="32">
        <f t="shared" si="11"/>
        <v>0</v>
      </c>
    </row>
    <row r="25" spans="1:52" ht="15.5">
      <c r="A25">
        <v>4</v>
      </c>
      <c r="B25" s="30" t="str">
        <f>Critères!$B25</f>
        <v>4.6</v>
      </c>
      <c r="C25" s="30" t="str">
        <f>Critères!$A20</f>
        <v>MULTIMÉDIA</v>
      </c>
      <c r="D25" s="30" t="str">
        <f>'P01'!$D23</f>
        <v>NT</v>
      </c>
      <c r="E25" s="30" t="e">
        <f>#REF!</f>
        <v>#REF!</v>
      </c>
      <c r="F25" s="30" t="e">
        <f>#REF!</f>
        <v>#REF!</v>
      </c>
      <c r="G25" s="30" t="e">
        <f>#REF!</f>
        <v>#REF!</v>
      </c>
      <c r="H25" s="30" t="e">
        <f>#REF!</f>
        <v>#REF!</v>
      </c>
      <c r="I25" s="30" t="e">
        <f>#REF!</f>
        <v>#REF!</v>
      </c>
      <c r="J25" s="30" t="e">
        <f>#REF!</f>
        <v>#REF!</v>
      </c>
      <c r="K25" s="30" t="e">
        <f>#REF!</f>
        <v>#REF!</v>
      </c>
      <c r="L25" s="30" t="e">
        <f>#REF!</f>
        <v>#REF!</v>
      </c>
      <c r="M25" s="30" t="e">
        <f>#REF!</f>
        <v>#REF!</v>
      </c>
      <c r="N25" s="30" t="e">
        <f>#REF!</f>
        <v>#REF!</v>
      </c>
      <c r="O25" s="30" t="e">
        <f>#REF!</f>
        <v>#REF!</v>
      </c>
      <c r="P25" s="30" t="e">
        <f>#REF!</f>
        <v>#REF!</v>
      </c>
      <c r="Q25" s="30" t="e">
        <f>#REF!</f>
        <v>#REF!</v>
      </c>
      <c r="R25" s="30" t="e">
        <f>#REF!</f>
        <v>#REF!</v>
      </c>
      <c r="S25" s="30" t="e">
        <f>#REF!</f>
        <v>#REF!</v>
      </c>
      <c r="T25" s="30" t="e">
        <f>#REF!</f>
        <v>#REF!</v>
      </c>
      <c r="U25" s="30" t="e">
        <f>#REF!</f>
        <v>#REF!</v>
      </c>
      <c r="V25" s="30" t="e">
        <f>#REF!</f>
        <v>#REF!</v>
      </c>
      <c r="W25" s="30" t="e">
        <f>#REF!</f>
        <v>#REF!</v>
      </c>
      <c r="X25" s="32">
        <f t="shared" si="6"/>
        <v>0</v>
      </c>
      <c r="Y25" s="32">
        <f t="shared" si="7"/>
        <v>0</v>
      </c>
      <c r="Z25" s="32">
        <f t="shared" si="8"/>
        <v>0</v>
      </c>
      <c r="AA25" s="32">
        <f t="shared" si="9"/>
        <v>1</v>
      </c>
      <c r="AB25" t="str">
        <f t="shared" si="10"/>
        <v>NT</v>
      </c>
      <c r="AC25">
        <v>4</v>
      </c>
      <c r="AD25" s="30" t="str">
        <f>Critères!$B25</f>
        <v>4.6</v>
      </c>
      <c r="AE25" s="30" t="str">
        <f>Critères!$A20</f>
        <v>MULTIMÉDIA</v>
      </c>
      <c r="AF25" s="30" t="str">
        <f>'P01'!$E23</f>
        <v>N</v>
      </c>
      <c r="AG25" s="30" t="e">
        <f>#REF!</f>
        <v>#REF!</v>
      </c>
      <c r="AH25" s="30" t="e">
        <f>#REF!</f>
        <v>#REF!</v>
      </c>
      <c r="AI25" s="30" t="e">
        <f>#REF!</f>
        <v>#REF!</v>
      </c>
      <c r="AJ25" s="30" t="e">
        <f>#REF!</f>
        <v>#REF!</v>
      </c>
      <c r="AK25" s="30" t="e">
        <f>#REF!</f>
        <v>#REF!</v>
      </c>
      <c r="AL25" s="30" t="e">
        <f>#REF!</f>
        <v>#REF!</v>
      </c>
      <c r="AM25" s="30" t="e">
        <f>#REF!</f>
        <v>#REF!</v>
      </c>
      <c r="AN25" s="30" t="e">
        <f>#REF!</f>
        <v>#REF!</v>
      </c>
      <c r="AO25" s="30" t="e">
        <f>#REF!</f>
        <v>#REF!</v>
      </c>
      <c r="AP25" s="30" t="e">
        <f>#REF!</f>
        <v>#REF!</v>
      </c>
      <c r="AQ25" s="30" t="e">
        <f>#REF!</f>
        <v>#REF!</v>
      </c>
      <c r="AR25" s="30" t="e">
        <f>#REF!</f>
        <v>#REF!</v>
      </c>
      <c r="AS25" s="30" t="e">
        <f>#REF!</f>
        <v>#REF!</v>
      </c>
      <c r="AT25" s="30" t="e">
        <f>#REF!</f>
        <v>#REF!</v>
      </c>
      <c r="AU25" s="30" t="e">
        <f>#REF!</f>
        <v>#REF!</v>
      </c>
      <c r="AV25" s="30" t="e">
        <f>#REF!</f>
        <v>#REF!</v>
      </c>
      <c r="AW25" s="30" t="e">
        <f>#REF!</f>
        <v>#REF!</v>
      </c>
      <c r="AX25" s="30" t="e">
        <f>#REF!</f>
        <v>#REF!</v>
      </c>
      <c r="AY25" s="30" t="e">
        <f>#REF!</f>
        <v>#REF!</v>
      </c>
      <c r="AZ25" s="32">
        <f t="shared" si="11"/>
        <v>0</v>
      </c>
    </row>
    <row r="26" spans="1:52" ht="15.5">
      <c r="A26">
        <v>4</v>
      </c>
      <c r="B26" s="30" t="str">
        <f>Critères!$B26</f>
        <v>4.7</v>
      </c>
      <c r="C26" s="30" t="str">
        <f>Critères!$A20</f>
        <v>MULTIMÉDIA</v>
      </c>
      <c r="D26" s="30" t="str">
        <f>'P01'!$D24</f>
        <v>NT</v>
      </c>
      <c r="E26" s="30" t="e">
        <f>#REF!</f>
        <v>#REF!</v>
      </c>
      <c r="F26" s="30" t="e">
        <f>#REF!</f>
        <v>#REF!</v>
      </c>
      <c r="G26" s="30" t="e">
        <f>#REF!</f>
        <v>#REF!</v>
      </c>
      <c r="H26" s="30" t="e">
        <f>#REF!</f>
        <v>#REF!</v>
      </c>
      <c r="I26" s="30" t="e">
        <f>#REF!</f>
        <v>#REF!</v>
      </c>
      <c r="J26" s="30" t="e">
        <f>#REF!</f>
        <v>#REF!</v>
      </c>
      <c r="K26" s="30" t="e">
        <f>#REF!</f>
        <v>#REF!</v>
      </c>
      <c r="L26" s="30" t="e">
        <f>#REF!</f>
        <v>#REF!</v>
      </c>
      <c r="M26" s="30" t="e">
        <f>#REF!</f>
        <v>#REF!</v>
      </c>
      <c r="N26" s="30" t="e">
        <f>#REF!</f>
        <v>#REF!</v>
      </c>
      <c r="O26" s="30" t="e">
        <f>#REF!</f>
        <v>#REF!</v>
      </c>
      <c r="P26" s="30" t="e">
        <f>#REF!</f>
        <v>#REF!</v>
      </c>
      <c r="Q26" s="30" t="e">
        <f>#REF!</f>
        <v>#REF!</v>
      </c>
      <c r="R26" s="30" t="e">
        <f>#REF!</f>
        <v>#REF!</v>
      </c>
      <c r="S26" s="30" t="e">
        <f>#REF!</f>
        <v>#REF!</v>
      </c>
      <c r="T26" s="30" t="e">
        <f>#REF!</f>
        <v>#REF!</v>
      </c>
      <c r="U26" s="30" t="e">
        <f>#REF!</f>
        <v>#REF!</v>
      </c>
      <c r="V26" s="30" t="e">
        <f>#REF!</f>
        <v>#REF!</v>
      </c>
      <c r="W26" s="30" t="e">
        <f>#REF!</f>
        <v>#REF!</v>
      </c>
      <c r="X26" s="32">
        <f t="shared" si="6"/>
        <v>0</v>
      </c>
      <c r="Y26" s="32">
        <f t="shared" si="7"/>
        <v>0</v>
      </c>
      <c r="Z26" s="32">
        <f t="shared" si="8"/>
        <v>0</v>
      </c>
      <c r="AA26" s="32">
        <f t="shared" si="9"/>
        <v>1</v>
      </c>
      <c r="AB26" t="str">
        <f t="shared" si="10"/>
        <v>NT</v>
      </c>
      <c r="AC26">
        <v>4</v>
      </c>
      <c r="AD26" s="30" t="str">
        <f>Critères!$B26</f>
        <v>4.7</v>
      </c>
      <c r="AE26" s="30" t="str">
        <f>Critères!$A20</f>
        <v>MULTIMÉDIA</v>
      </c>
      <c r="AF26" s="30" t="str">
        <f>'P01'!$E24</f>
        <v>N</v>
      </c>
      <c r="AG26" s="30" t="e">
        <f>#REF!</f>
        <v>#REF!</v>
      </c>
      <c r="AH26" s="30" t="e">
        <f>#REF!</f>
        <v>#REF!</v>
      </c>
      <c r="AI26" s="30" t="e">
        <f>#REF!</f>
        <v>#REF!</v>
      </c>
      <c r="AJ26" s="30" t="e">
        <f>#REF!</f>
        <v>#REF!</v>
      </c>
      <c r="AK26" s="30" t="e">
        <f>#REF!</f>
        <v>#REF!</v>
      </c>
      <c r="AL26" s="30" t="e">
        <f>#REF!</f>
        <v>#REF!</v>
      </c>
      <c r="AM26" s="30" t="e">
        <f>#REF!</f>
        <v>#REF!</v>
      </c>
      <c r="AN26" s="30" t="e">
        <f>#REF!</f>
        <v>#REF!</v>
      </c>
      <c r="AO26" s="30" t="e">
        <f>#REF!</f>
        <v>#REF!</v>
      </c>
      <c r="AP26" s="30" t="e">
        <f>#REF!</f>
        <v>#REF!</v>
      </c>
      <c r="AQ26" s="30" t="e">
        <f>#REF!</f>
        <v>#REF!</v>
      </c>
      <c r="AR26" s="30" t="e">
        <f>#REF!</f>
        <v>#REF!</v>
      </c>
      <c r="AS26" s="30" t="e">
        <f>#REF!</f>
        <v>#REF!</v>
      </c>
      <c r="AT26" s="30" t="e">
        <f>#REF!</f>
        <v>#REF!</v>
      </c>
      <c r="AU26" s="30" t="e">
        <f>#REF!</f>
        <v>#REF!</v>
      </c>
      <c r="AV26" s="30" t="e">
        <f>#REF!</f>
        <v>#REF!</v>
      </c>
      <c r="AW26" s="30" t="e">
        <f>#REF!</f>
        <v>#REF!</v>
      </c>
      <c r="AX26" s="30" t="e">
        <f>#REF!</f>
        <v>#REF!</v>
      </c>
      <c r="AY26" s="30" t="e">
        <f>#REF!</f>
        <v>#REF!</v>
      </c>
      <c r="AZ26" s="32">
        <f t="shared" si="11"/>
        <v>0</v>
      </c>
    </row>
    <row r="27" spans="1:52" ht="15.5">
      <c r="A27">
        <v>4</v>
      </c>
      <c r="B27" s="30" t="str">
        <f>Critères!$B27</f>
        <v>4.8</v>
      </c>
      <c r="C27" s="30" t="str">
        <f>Critères!$A20</f>
        <v>MULTIMÉDIA</v>
      </c>
      <c r="D27" s="30" t="str">
        <f>'P01'!$D25</f>
        <v>NT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  <c r="N27" s="30" t="e">
        <f>#REF!</f>
        <v>#REF!</v>
      </c>
      <c r="O27" s="30" t="e">
        <f>#REF!</f>
        <v>#REF!</v>
      </c>
      <c r="P27" s="30" t="e">
        <f>#REF!</f>
        <v>#REF!</v>
      </c>
      <c r="Q27" s="30" t="e">
        <f>#REF!</f>
        <v>#REF!</v>
      </c>
      <c r="R27" s="30" t="e">
        <f>#REF!</f>
        <v>#REF!</v>
      </c>
      <c r="S27" s="30" t="e">
        <f>#REF!</f>
        <v>#REF!</v>
      </c>
      <c r="T27" s="30" t="e">
        <f>#REF!</f>
        <v>#REF!</v>
      </c>
      <c r="U27" s="30" t="e">
        <f>#REF!</f>
        <v>#REF!</v>
      </c>
      <c r="V27" s="30" t="e">
        <f>#REF!</f>
        <v>#REF!</v>
      </c>
      <c r="W27" s="30" t="e">
        <f>#REF!</f>
        <v>#REF!</v>
      </c>
      <c r="X27" s="32">
        <f t="shared" si="6"/>
        <v>0</v>
      </c>
      <c r="Y27" s="32">
        <f t="shared" si="7"/>
        <v>0</v>
      </c>
      <c r="Z27" s="32">
        <f t="shared" si="8"/>
        <v>0</v>
      </c>
      <c r="AA27" s="32">
        <f t="shared" si="9"/>
        <v>1</v>
      </c>
      <c r="AB27" t="str">
        <f t="shared" si="10"/>
        <v>NT</v>
      </c>
      <c r="AC27">
        <v>4</v>
      </c>
      <c r="AD27" s="30" t="str">
        <f>Critères!$B27</f>
        <v>4.8</v>
      </c>
      <c r="AE27" s="30" t="str">
        <f>Critères!$A20</f>
        <v>MULTIMÉDIA</v>
      </c>
      <c r="AF27" s="30" t="str">
        <f>'P01'!$E25</f>
        <v>N</v>
      </c>
      <c r="AG27" s="30" t="e">
        <f>#REF!</f>
        <v>#REF!</v>
      </c>
      <c r="AH27" s="30" t="e">
        <f>#REF!</f>
        <v>#REF!</v>
      </c>
      <c r="AI27" s="30" t="e">
        <f>#REF!</f>
        <v>#REF!</v>
      </c>
      <c r="AJ27" s="30" t="e">
        <f>#REF!</f>
        <v>#REF!</v>
      </c>
      <c r="AK27" s="30" t="e">
        <f>#REF!</f>
        <v>#REF!</v>
      </c>
      <c r="AL27" s="30" t="e">
        <f>#REF!</f>
        <v>#REF!</v>
      </c>
      <c r="AM27" s="30" t="e">
        <f>#REF!</f>
        <v>#REF!</v>
      </c>
      <c r="AN27" s="30" t="e">
        <f>#REF!</f>
        <v>#REF!</v>
      </c>
      <c r="AO27" s="30" t="e">
        <f>#REF!</f>
        <v>#REF!</v>
      </c>
      <c r="AP27" s="30" t="e">
        <f>#REF!</f>
        <v>#REF!</v>
      </c>
      <c r="AQ27" s="30" t="e">
        <f>#REF!</f>
        <v>#REF!</v>
      </c>
      <c r="AR27" s="30" t="e">
        <f>#REF!</f>
        <v>#REF!</v>
      </c>
      <c r="AS27" s="30" t="e">
        <f>#REF!</f>
        <v>#REF!</v>
      </c>
      <c r="AT27" s="30" t="e">
        <f>#REF!</f>
        <v>#REF!</v>
      </c>
      <c r="AU27" s="30" t="e">
        <f>#REF!</f>
        <v>#REF!</v>
      </c>
      <c r="AV27" s="30" t="e">
        <f>#REF!</f>
        <v>#REF!</v>
      </c>
      <c r="AW27" s="30" t="e">
        <f>#REF!</f>
        <v>#REF!</v>
      </c>
      <c r="AX27" s="30" t="e">
        <f>#REF!</f>
        <v>#REF!</v>
      </c>
      <c r="AY27" s="30" t="e">
        <f>#REF!</f>
        <v>#REF!</v>
      </c>
      <c r="AZ27" s="32">
        <f t="shared" si="11"/>
        <v>0</v>
      </c>
    </row>
    <row r="28" spans="1:52" ht="15.5">
      <c r="A28">
        <v>4</v>
      </c>
      <c r="B28" s="30" t="str">
        <f>Critères!$B28</f>
        <v>4.9</v>
      </c>
      <c r="C28" s="30" t="str">
        <f>Critères!$A20</f>
        <v>MULTIMÉDIA</v>
      </c>
      <c r="D28" s="30" t="str">
        <f>'P01'!$D26</f>
        <v>NT</v>
      </c>
      <c r="E28" s="30" t="e">
        <f>#REF!</f>
        <v>#REF!</v>
      </c>
      <c r="F28" s="30" t="e">
        <f>#REF!</f>
        <v>#REF!</v>
      </c>
      <c r="G28" s="30" t="e">
        <f>#REF!</f>
        <v>#REF!</v>
      </c>
      <c r="H28" s="30" t="e">
        <f>#REF!</f>
        <v>#REF!</v>
      </c>
      <c r="I28" s="30" t="e">
        <f>#REF!</f>
        <v>#REF!</v>
      </c>
      <c r="J28" s="30" t="e">
        <f>#REF!</f>
        <v>#REF!</v>
      </c>
      <c r="K28" s="30" t="e">
        <f>#REF!</f>
        <v>#REF!</v>
      </c>
      <c r="L28" s="30" t="e">
        <f>#REF!</f>
        <v>#REF!</v>
      </c>
      <c r="M28" s="30" t="e">
        <f>#REF!</f>
        <v>#REF!</v>
      </c>
      <c r="N28" s="30" t="e">
        <f>#REF!</f>
        <v>#REF!</v>
      </c>
      <c r="O28" s="30" t="e">
        <f>#REF!</f>
        <v>#REF!</v>
      </c>
      <c r="P28" s="30" t="e">
        <f>#REF!</f>
        <v>#REF!</v>
      </c>
      <c r="Q28" s="30" t="e">
        <f>#REF!</f>
        <v>#REF!</v>
      </c>
      <c r="R28" s="30" t="e">
        <f>#REF!</f>
        <v>#REF!</v>
      </c>
      <c r="S28" s="30" t="e">
        <f>#REF!</f>
        <v>#REF!</v>
      </c>
      <c r="T28" s="30" t="e">
        <f>#REF!</f>
        <v>#REF!</v>
      </c>
      <c r="U28" s="30" t="e">
        <f>#REF!</f>
        <v>#REF!</v>
      </c>
      <c r="V28" s="30" t="e">
        <f>#REF!</f>
        <v>#REF!</v>
      </c>
      <c r="W28" s="30" t="e">
        <f>#REF!</f>
        <v>#REF!</v>
      </c>
      <c r="X28" s="32">
        <f t="shared" si="6"/>
        <v>0</v>
      </c>
      <c r="Y28" s="32">
        <f t="shared" si="7"/>
        <v>0</v>
      </c>
      <c r="Z28" s="32">
        <f t="shared" si="8"/>
        <v>0</v>
      </c>
      <c r="AA28" s="32">
        <f t="shared" si="9"/>
        <v>1</v>
      </c>
      <c r="AB28" t="str">
        <f t="shared" si="10"/>
        <v>NT</v>
      </c>
      <c r="AC28">
        <v>4</v>
      </c>
      <c r="AD28" s="30" t="str">
        <f>Critères!$B28</f>
        <v>4.9</v>
      </c>
      <c r="AE28" s="30" t="str">
        <f>Critères!$A20</f>
        <v>MULTIMÉDIA</v>
      </c>
      <c r="AF28" s="30" t="str">
        <f>'P01'!$E26</f>
        <v>N</v>
      </c>
      <c r="AG28" s="30" t="e">
        <f>#REF!</f>
        <v>#REF!</v>
      </c>
      <c r="AH28" s="30" t="e">
        <f>#REF!</f>
        <v>#REF!</v>
      </c>
      <c r="AI28" s="30" t="e">
        <f>#REF!</f>
        <v>#REF!</v>
      </c>
      <c r="AJ28" s="30" t="e">
        <f>#REF!</f>
        <v>#REF!</v>
      </c>
      <c r="AK28" s="30" t="e">
        <f>#REF!</f>
        <v>#REF!</v>
      </c>
      <c r="AL28" s="30" t="e">
        <f>#REF!</f>
        <v>#REF!</v>
      </c>
      <c r="AM28" s="30" t="e">
        <f>#REF!</f>
        <v>#REF!</v>
      </c>
      <c r="AN28" s="30" t="e">
        <f>#REF!</f>
        <v>#REF!</v>
      </c>
      <c r="AO28" s="30" t="e">
        <f>#REF!</f>
        <v>#REF!</v>
      </c>
      <c r="AP28" s="30" t="e">
        <f>#REF!</f>
        <v>#REF!</v>
      </c>
      <c r="AQ28" s="30" t="e">
        <f>#REF!</f>
        <v>#REF!</v>
      </c>
      <c r="AR28" s="30" t="e">
        <f>#REF!</f>
        <v>#REF!</v>
      </c>
      <c r="AS28" s="30" t="e">
        <f>#REF!</f>
        <v>#REF!</v>
      </c>
      <c r="AT28" s="30" t="e">
        <f>#REF!</f>
        <v>#REF!</v>
      </c>
      <c r="AU28" s="30" t="e">
        <f>#REF!</f>
        <v>#REF!</v>
      </c>
      <c r="AV28" s="30" t="e">
        <f>#REF!</f>
        <v>#REF!</v>
      </c>
      <c r="AW28" s="30" t="e">
        <f>#REF!</f>
        <v>#REF!</v>
      </c>
      <c r="AX28" s="30" t="e">
        <f>#REF!</f>
        <v>#REF!</v>
      </c>
      <c r="AY28" s="30" t="e">
        <f>#REF!</f>
        <v>#REF!</v>
      </c>
      <c r="AZ28" s="32">
        <f t="shared" si="11"/>
        <v>0</v>
      </c>
    </row>
    <row r="29" spans="1:52" ht="15.5">
      <c r="A29">
        <v>4</v>
      </c>
      <c r="B29" s="30" t="str">
        <f>Critères!$B29</f>
        <v>4.10</v>
      </c>
      <c r="C29" s="30" t="str">
        <f>Critères!$A20</f>
        <v>MULTIMÉDIA</v>
      </c>
      <c r="D29" s="30" t="str">
        <f>'P01'!$D27</f>
        <v>NT</v>
      </c>
      <c r="E29" s="30" t="e">
        <f>#REF!</f>
        <v>#REF!</v>
      </c>
      <c r="F29" s="30" t="e">
        <f>#REF!</f>
        <v>#REF!</v>
      </c>
      <c r="G29" s="30" t="e">
        <f>#REF!</f>
        <v>#REF!</v>
      </c>
      <c r="H29" s="30" t="e">
        <f>#REF!</f>
        <v>#REF!</v>
      </c>
      <c r="I29" s="30" t="e">
        <f>#REF!</f>
        <v>#REF!</v>
      </c>
      <c r="J29" s="30" t="e">
        <f>#REF!</f>
        <v>#REF!</v>
      </c>
      <c r="K29" s="30" t="e">
        <f>#REF!</f>
        <v>#REF!</v>
      </c>
      <c r="L29" s="30" t="e">
        <f>#REF!</f>
        <v>#REF!</v>
      </c>
      <c r="M29" s="30" t="e">
        <f>#REF!</f>
        <v>#REF!</v>
      </c>
      <c r="N29" s="30" t="e">
        <f>#REF!</f>
        <v>#REF!</v>
      </c>
      <c r="O29" s="30" t="e">
        <f>#REF!</f>
        <v>#REF!</v>
      </c>
      <c r="P29" s="30" t="e">
        <f>#REF!</f>
        <v>#REF!</v>
      </c>
      <c r="Q29" s="30" t="e">
        <f>#REF!</f>
        <v>#REF!</v>
      </c>
      <c r="R29" s="30" t="e">
        <f>#REF!</f>
        <v>#REF!</v>
      </c>
      <c r="S29" s="30" t="e">
        <f>#REF!</f>
        <v>#REF!</v>
      </c>
      <c r="T29" s="30" t="e">
        <f>#REF!</f>
        <v>#REF!</v>
      </c>
      <c r="U29" s="30" t="e">
        <f>#REF!</f>
        <v>#REF!</v>
      </c>
      <c r="V29" s="30" t="e">
        <f>#REF!</f>
        <v>#REF!</v>
      </c>
      <c r="W29" s="30" t="e">
        <f>#REF!</f>
        <v>#REF!</v>
      </c>
      <c r="X29" s="32">
        <f t="shared" si="6"/>
        <v>0</v>
      </c>
      <c r="Y29" s="32">
        <f t="shared" si="7"/>
        <v>0</v>
      </c>
      <c r="Z29" s="32">
        <f t="shared" si="8"/>
        <v>0</v>
      </c>
      <c r="AA29" s="32">
        <f t="shared" si="9"/>
        <v>1</v>
      </c>
      <c r="AB29" t="str">
        <f t="shared" si="10"/>
        <v>NT</v>
      </c>
      <c r="AC29">
        <v>4</v>
      </c>
      <c r="AD29" s="30" t="str">
        <f>Critères!$B29</f>
        <v>4.10</v>
      </c>
      <c r="AE29" s="30" t="str">
        <f>Critères!$A20</f>
        <v>MULTIMÉDIA</v>
      </c>
      <c r="AF29" s="30" t="str">
        <f>'P01'!$E27</f>
        <v>N</v>
      </c>
      <c r="AG29" s="30" t="e">
        <f>#REF!</f>
        <v>#REF!</v>
      </c>
      <c r="AH29" s="30" t="e">
        <f>#REF!</f>
        <v>#REF!</v>
      </c>
      <c r="AI29" s="30" t="e">
        <f>#REF!</f>
        <v>#REF!</v>
      </c>
      <c r="AJ29" s="30" t="e">
        <f>#REF!</f>
        <v>#REF!</v>
      </c>
      <c r="AK29" s="30" t="e">
        <f>#REF!</f>
        <v>#REF!</v>
      </c>
      <c r="AL29" s="30" t="e">
        <f>#REF!</f>
        <v>#REF!</v>
      </c>
      <c r="AM29" s="30" t="e">
        <f>#REF!</f>
        <v>#REF!</v>
      </c>
      <c r="AN29" s="30" t="e">
        <f>#REF!</f>
        <v>#REF!</v>
      </c>
      <c r="AO29" s="30" t="e">
        <f>#REF!</f>
        <v>#REF!</v>
      </c>
      <c r="AP29" s="30" t="e">
        <f>#REF!</f>
        <v>#REF!</v>
      </c>
      <c r="AQ29" s="30" t="e">
        <f>#REF!</f>
        <v>#REF!</v>
      </c>
      <c r="AR29" s="30" t="e">
        <f>#REF!</f>
        <v>#REF!</v>
      </c>
      <c r="AS29" s="30" t="e">
        <f>#REF!</f>
        <v>#REF!</v>
      </c>
      <c r="AT29" s="30" t="e">
        <f>#REF!</f>
        <v>#REF!</v>
      </c>
      <c r="AU29" s="30" t="e">
        <f>#REF!</f>
        <v>#REF!</v>
      </c>
      <c r="AV29" s="30" t="e">
        <f>#REF!</f>
        <v>#REF!</v>
      </c>
      <c r="AW29" s="30" t="e">
        <f>#REF!</f>
        <v>#REF!</v>
      </c>
      <c r="AX29" s="30" t="e">
        <f>#REF!</f>
        <v>#REF!</v>
      </c>
      <c r="AY29" s="30" t="e">
        <f>#REF!</f>
        <v>#REF!</v>
      </c>
      <c r="AZ29" s="32">
        <f t="shared" si="11"/>
        <v>0</v>
      </c>
    </row>
    <row r="30" spans="1:52" ht="15.5">
      <c r="A30">
        <v>4</v>
      </c>
      <c r="B30" s="30" t="str">
        <f>Critères!$B30</f>
        <v>4.11</v>
      </c>
      <c r="C30" s="30" t="str">
        <f>Critères!$A20</f>
        <v>MULTIMÉDIA</v>
      </c>
      <c r="D30" s="30" t="str">
        <f>'P01'!$D28</f>
        <v>NT</v>
      </c>
      <c r="E30" s="30" t="e">
        <f>#REF!</f>
        <v>#REF!</v>
      </c>
      <c r="F30" s="30" t="e">
        <f>#REF!</f>
        <v>#REF!</v>
      </c>
      <c r="G30" s="30" t="e">
        <f>#REF!</f>
        <v>#REF!</v>
      </c>
      <c r="H30" s="30" t="e">
        <f>#REF!</f>
        <v>#REF!</v>
      </c>
      <c r="I30" s="30" t="e">
        <f>#REF!</f>
        <v>#REF!</v>
      </c>
      <c r="J30" s="30" t="e">
        <f>#REF!</f>
        <v>#REF!</v>
      </c>
      <c r="K30" s="30" t="e">
        <f>#REF!</f>
        <v>#REF!</v>
      </c>
      <c r="L30" s="30" t="e">
        <f>#REF!</f>
        <v>#REF!</v>
      </c>
      <c r="M30" s="30" t="e">
        <f>#REF!</f>
        <v>#REF!</v>
      </c>
      <c r="N30" s="30" t="e">
        <f>#REF!</f>
        <v>#REF!</v>
      </c>
      <c r="O30" s="30" t="e">
        <f>#REF!</f>
        <v>#REF!</v>
      </c>
      <c r="P30" s="30" t="e">
        <f>#REF!</f>
        <v>#REF!</v>
      </c>
      <c r="Q30" s="30" t="e">
        <f>#REF!</f>
        <v>#REF!</v>
      </c>
      <c r="R30" s="30" t="e">
        <f>#REF!</f>
        <v>#REF!</v>
      </c>
      <c r="S30" s="30" t="e">
        <f>#REF!</f>
        <v>#REF!</v>
      </c>
      <c r="T30" s="30" t="e">
        <f>#REF!</f>
        <v>#REF!</v>
      </c>
      <c r="U30" s="30" t="e">
        <f>#REF!</f>
        <v>#REF!</v>
      </c>
      <c r="V30" s="30" t="e">
        <f>#REF!</f>
        <v>#REF!</v>
      </c>
      <c r="W30" s="30" t="e">
        <f>#REF!</f>
        <v>#REF!</v>
      </c>
      <c r="X30" s="32">
        <f t="shared" si="6"/>
        <v>0</v>
      </c>
      <c r="Y30" s="32">
        <f t="shared" si="7"/>
        <v>0</v>
      </c>
      <c r="Z30" s="32">
        <f t="shared" si="8"/>
        <v>0</v>
      </c>
      <c r="AA30" s="32">
        <f t="shared" si="9"/>
        <v>1</v>
      </c>
      <c r="AB30" t="str">
        <f t="shared" si="10"/>
        <v>NT</v>
      </c>
      <c r="AC30">
        <v>4</v>
      </c>
      <c r="AD30" s="30" t="str">
        <f>Critères!$B30</f>
        <v>4.11</v>
      </c>
      <c r="AE30" s="30" t="str">
        <f>Critères!$A20</f>
        <v>MULTIMÉDIA</v>
      </c>
      <c r="AF30" s="30" t="str">
        <f>'P01'!$E28</f>
        <v>N</v>
      </c>
      <c r="AG30" s="30" t="e">
        <f>#REF!</f>
        <v>#REF!</v>
      </c>
      <c r="AH30" s="30" t="e">
        <f>#REF!</f>
        <v>#REF!</v>
      </c>
      <c r="AI30" s="30" t="e">
        <f>#REF!</f>
        <v>#REF!</v>
      </c>
      <c r="AJ30" s="30" t="e">
        <f>#REF!</f>
        <v>#REF!</v>
      </c>
      <c r="AK30" s="30" t="e">
        <f>#REF!</f>
        <v>#REF!</v>
      </c>
      <c r="AL30" s="30" t="e">
        <f>#REF!</f>
        <v>#REF!</v>
      </c>
      <c r="AM30" s="30" t="e">
        <f>#REF!</f>
        <v>#REF!</v>
      </c>
      <c r="AN30" s="30" t="e">
        <f>#REF!</f>
        <v>#REF!</v>
      </c>
      <c r="AO30" s="30" t="e">
        <f>#REF!</f>
        <v>#REF!</v>
      </c>
      <c r="AP30" s="30" t="e">
        <f>#REF!</f>
        <v>#REF!</v>
      </c>
      <c r="AQ30" s="30" t="e">
        <f>#REF!</f>
        <v>#REF!</v>
      </c>
      <c r="AR30" s="30" t="e">
        <f>#REF!</f>
        <v>#REF!</v>
      </c>
      <c r="AS30" s="30" t="e">
        <f>#REF!</f>
        <v>#REF!</v>
      </c>
      <c r="AT30" s="30" t="e">
        <f>#REF!</f>
        <v>#REF!</v>
      </c>
      <c r="AU30" s="30" t="e">
        <f>#REF!</f>
        <v>#REF!</v>
      </c>
      <c r="AV30" s="30" t="e">
        <f>#REF!</f>
        <v>#REF!</v>
      </c>
      <c r="AW30" s="30" t="e">
        <f>#REF!</f>
        <v>#REF!</v>
      </c>
      <c r="AX30" s="30" t="e">
        <f>#REF!</f>
        <v>#REF!</v>
      </c>
      <c r="AY30" s="30" t="e">
        <f>#REF!</f>
        <v>#REF!</v>
      </c>
      <c r="AZ30" s="32">
        <f t="shared" si="11"/>
        <v>0</v>
      </c>
    </row>
    <row r="31" spans="1:52" ht="15.5">
      <c r="A31">
        <v>4</v>
      </c>
      <c r="B31" s="30" t="str">
        <f>Critères!$B31</f>
        <v>4.12</v>
      </c>
      <c r="C31" s="30" t="str">
        <f>Critères!$A20</f>
        <v>MULTIMÉDIA</v>
      </c>
      <c r="D31" s="30" t="str">
        <f>'P01'!$D29</f>
        <v>NT</v>
      </c>
      <c r="E31" s="30" t="e">
        <f>#REF!</f>
        <v>#REF!</v>
      </c>
      <c r="F31" s="30" t="e">
        <f>#REF!</f>
        <v>#REF!</v>
      </c>
      <c r="G31" s="30" t="e">
        <f>#REF!</f>
        <v>#REF!</v>
      </c>
      <c r="H31" s="30" t="e">
        <f>#REF!</f>
        <v>#REF!</v>
      </c>
      <c r="I31" s="30" t="e">
        <f>#REF!</f>
        <v>#REF!</v>
      </c>
      <c r="J31" s="30" t="e">
        <f>#REF!</f>
        <v>#REF!</v>
      </c>
      <c r="K31" s="30" t="e">
        <f>#REF!</f>
        <v>#REF!</v>
      </c>
      <c r="L31" s="30" t="e">
        <f>#REF!</f>
        <v>#REF!</v>
      </c>
      <c r="M31" s="30" t="e">
        <f>#REF!</f>
        <v>#REF!</v>
      </c>
      <c r="N31" s="30" t="e">
        <f>#REF!</f>
        <v>#REF!</v>
      </c>
      <c r="O31" s="30" t="e">
        <f>#REF!</f>
        <v>#REF!</v>
      </c>
      <c r="P31" s="30" t="e">
        <f>#REF!</f>
        <v>#REF!</v>
      </c>
      <c r="Q31" s="30" t="e">
        <f>#REF!</f>
        <v>#REF!</v>
      </c>
      <c r="R31" s="30" t="e">
        <f>#REF!</f>
        <v>#REF!</v>
      </c>
      <c r="S31" s="30" t="e">
        <f>#REF!</f>
        <v>#REF!</v>
      </c>
      <c r="T31" s="30" t="e">
        <f>#REF!</f>
        <v>#REF!</v>
      </c>
      <c r="U31" s="30" t="e">
        <f>#REF!</f>
        <v>#REF!</v>
      </c>
      <c r="V31" s="30" t="e">
        <f>#REF!</f>
        <v>#REF!</v>
      </c>
      <c r="W31" s="30" t="e">
        <f>#REF!</f>
        <v>#REF!</v>
      </c>
      <c r="X31" s="32">
        <f t="shared" si="6"/>
        <v>0</v>
      </c>
      <c r="Y31" s="32">
        <f t="shared" si="7"/>
        <v>0</v>
      </c>
      <c r="Z31" s="32">
        <f t="shared" si="8"/>
        <v>0</v>
      </c>
      <c r="AA31" s="32">
        <f t="shared" si="9"/>
        <v>1</v>
      </c>
      <c r="AB31" t="str">
        <f t="shared" si="10"/>
        <v>NT</v>
      </c>
      <c r="AC31">
        <v>4</v>
      </c>
      <c r="AD31" s="30" t="str">
        <f>Critères!$B31</f>
        <v>4.12</v>
      </c>
      <c r="AE31" s="30" t="str">
        <f>Critères!$A20</f>
        <v>MULTIMÉDIA</v>
      </c>
      <c r="AF31" s="30" t="str">
        <f>'P01'!$E29</f>
        <v>N</v>
      </c>
      <c r="AG31" s="30" t="e">
        <f>#REF!</f>
        <v>#REF!</v>
      </c>
      <c r="AH31" s="30" t="e">
        <f>#REF!</f>
        <v>#REF!</v>
      </c>
      <c r="AI31" s="30" t="e">
        <f>#REF!</f>
        <v>#REF!</v>
      </c>
      <c r="AJ31" s="30" t="e">
        <f>#REF!</f>
        <v>#REF!</v>
      </c>
      <c r="AK31" s="30" t="e">
        <f>#REF!</f>
        <v>#REF!</v>
      </c>
      <c r="AL31" s="30" t="e">
        <f>#REF!</f>
        <v>#REF!</v>
      </c>
      <c r="AM31" s="30" t="e">
        <f>#REF!</f>
        <v>#REF!</v>
      </c>
      <c r="AN31" s="30" t="e">
        <f>#REF!</f>
        <v>#REF!</v>
      </c>
      <c r="AO31" s="30" t="e">
        <f>#REF!</f>
        <v>#REF!</v>
      </c>
      <c r="AP31" s="30" t="e">
        <f>#REF!</f>
        <v>#REF!</v>
      </c>
      <c r="AQ31" s="30" t="e">
        <f>#REF!</f>
        <v>#REF!</v>
      </c>
      <c r="AR31" s="30" t="e">
        <f>#REF!</f>
        <v>#REF!</v>
      </c>
      <c r="AS31" s="30" t="e">
        <f>#REF!</f>
        <v>#REF!</v>
      </c>
      <c r="AT31" s="30" t="e">
        <f>#REF!</f>
        <v>#REF!</v>
      </c>
      <c r="AU31" s="30" t="e">
        <f>#REF!</f>
        <v>#REF!</v>
      </c>
      <c r="AV31" s="30" t="e">
        <f>#REF!</f>
        <v>#REF!</v>
      </c>
      <c r="AW31" s="30" t="e">
        <f>#REF!</f>
        <v>#REF!</v>
      </c>
      <c r="AX31" s="30" t="e">
        <f>#REF!</f>
        <v>#REF!</v>
      </c>
      <c r="AY31" s="30" t="e">
        <f>#REF!</f>
        <v>#REF!</v>
      </c>
      <c r="AZ31" s="32">
        <f t="shared" si="11"/>
        <v>0</v>
      </c>
    </row>
    <row r="32" spans="1:52" ht="15.5">
      <c r="A32">
        <v>4</v>
      </c>
      <c r="B32" s="30" t="str">
        <f>Critères!$B32</f>
        <v>4.13</v>
      </c>
      <c r="C32" s="30" t="str">
        <f>Critères!$A20</f>
        <v>MULTIMÉDIA</v>
      </c>
      <c r="D32" s="30" t="str">
        <f>'P01'!$D30</f>
        <v>NT</v>
      </c>
      <c r="E32" s="30" t="e">
        <f>#REF!</f>
        <v>#REF!</v>
      </c>
      <c r="F32" s="30" t="e">
        <f>#REF!</f>
        <v>#REF!</v>
      </c>
      <c r="G32" s="30" t="e">
        <f>#REF!</f>
        <v>#REF!</v>
      </c>
      <c r="H32" s="30" t="e">
        <f>#REF!</f>
        <v>#REF!</v>
      </c>
      <c r="I32" s="30" t="e">
        <f>#REF!</f>
        <v>#REF!</v>
      </c>
      <c r="J32" s="30" t="e">
        <f>#REF!</f>
        <v>#REF!</v>
      </c>
      <c r="K32" s="30" t="e">
        <f>#REF!</f>
        <v>#REF!</v>
      </c>
      <c r="L32" s="30" t="e">
        <f>#REF!</f>
        <v>#REF!</v>
      </c>
      <c r="M32" s="30" t="e">
        <f>#REF!</f>
        <v>#REF!</v>
      </c>
      <c r="N32" s="30" t="e">
        <f>#REF!</f>
        <v>#REF!</v>
      </c>
      <c r="O32" s="30" t="e">
        <f>#REF!</f>
        <v>#REF!</v>
      </c>
      <c r="P32" s="30" t="e">
        <f>#REF!</f>
        <v>#REF!</v>
      </c>
      <c r="Q32" s="30" t="e">
        <f>#REF!</f>
        <v>#REF!</v>
      </c>
      <c r="R32" s="30" t="e">
        <f>#REF!</f>
        <v>#REF!</v>
      </c>
      <c r="S32" s="30" t="e">
        <f>#REF!</f>
        <v>#REF!</v>
      </c>
      <c r="T32" s="30" t="e">
        <f>#REF!</f>
        <v>#REF!</v>
      </c>
      <c r="U32" s="30" t="e">
        <f>#REF!</f>
        <v>#REF!</v>
      </c>
      <c r="V32" s="30" t="e">
        <f>#REF!</f>
        <v>#REF!</v>
      </c>
      <c r="W32" s="30" t="e">
        <f>#REF!</f>
        <v>#REF!</v>
      </c>
      <c r="X32" s="32">
        <f t="shared" si="6"/>
        <v>0</v>
      </c>
      <c r="Y32" s="32">
        <f t="shared" si="7"/>
        <v>0</v>
      </c>
      <c r="Z32" s="32">
        <f t="shared" si="8"/>
        <v>0</v>
      </c>
      <c r="AA32" s="32">
        <f t="shared" si="9"/>
        <v>1</v>
      </c>
      <c r="AB32" t="str">
        <f t="shared" si="10"/>
        <v>NT</v>
      </c>
      <c r="AC32">
        <v>4</v>
      </c>
      <c r="AD32" s="30" t="str">
        <f>Critères!$B32</f>
        <v>4.13</v>
      </c>
      <c r="AE32" s="30" t="str">
        <f>Critères!$A20</f>
        <v>MULTIMÉDIA</v>
      </c>
      <c r="AF32" s="30" t="str">
        <f>'P01'!$E30</f>
        <v>N</v>
      </c>
      <c r="AG32" s="30" t="e">
        <f>#REF!</f>
        <v>#REF!</v>
      </c>
      <c r="AH32" s="30" t="e">
        <f>#REF!</f>
        <v>#REF!</v>
      </c>
      <c r="AI32" s="30" t="e">
        <f>#REF!</f>
        <v>#REF!</v>
      </c>
      <c r="AJ32" s="30" t="e">
        <f>#REF!</f>
        <v>#REF!</v>
      </c>
      <c r="AK32" s="30" t="e">
        <f>#REF!</f>
        <v>#REF!</v>
      </c>
      <c r="AL32" s="30" t="e">
        <f>#REF!</f>
        <v>#REF!</v>
      </c>
      <c r="AM32" s="30" t="e">
        <f>#REF!</f>
        <v>#REF!</v>
      </c>
      <c r="AN32" s="30" t="e">
        <f>#REF!</f>
        <v>#REF!</v>
      </c>
      <c r="AO32" s="30" t="e">
        <f>#REF!</f>
        <v>#REF!</v>
      </c>
      <c r="AP32" s="30" t="e">
        <f>#REF!</f>
        <v>#REF!</v>
      </c>
      <c r="AQ32" s="30" t="e">
        <f>#REF!</f>
        <v>#REF!</v>
      </c>
      <c r="AR32" s="30" t="e">
        <f>#REF!</f>
        <v>#REF!</v>
      </c>
      <c r="AS32" s="30" t="e">
        <f>#REF!</f>
        <v>#REF!</v>
      </c>
      <c r="AT32" s="30" t="e">
        <f>#REF!</f>
        <v>#REF!</v>
      </c>
      <c r="AU32" s="30" t="e">
        <f>#REF!</f>
        <v>#REF!</v>
      </c>
      <c r="AV32" s="30" t="e">
        <f>#REF!</f>
        <v>#REF!</v>
      </c>
      <c r="AW32" s="30" t="e">
        <f>#REF!</f>
        <v>#REF!</v>
      </c>
      <c r="AX32" s="30" t="e">
        <f>#REF!</f>
        <v>#REF!</v>
      </c>
      <c r="AY32" s="30" t="e">
        <f>#REF!</f>
        <v>#REF!</v>
      </c>
      <c r="AZ32" s="32">
        <f t="shared" si="11"/>
        <v>0</v>
      </c>
    </row>
    <row r="33" spans="1:52" ht="15.5">
      <c r="A33" s="3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6">
        <f>SUM(X20:X32)</f>
        <v>0</v>
      </c>
      <c r="Y33" s="36">
        <f>SUM(Y20:Y32)</f>
        <v>0</v>
      </c>
      <c r="Z33" s="36">
        <f>SUM(Z20:Z32)</f>
        <v>0</v>
      </c>
      <c r="AA33" s="36">
        <f>SUM(AA20:AA32)</f>
        <v>13</v>
      </c>
      <c r="AC33" s="3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6">
        <f>SUM(AZ20:AZ32)</f>
        <v>0</v>
      </c>
    </row>
    <row r="34" spans="1:52" ht="15.5">
      <c r="A34">
        <v>5</v>
      </c>
      <c r="B34" s="30" t="str">
        <f>Critères!$B34</f>
        <v>5.1</v>
      </c>
      <c r="C34" s="30" t="str">
        <f>Critères!$A34</f>
        <v>TABLEAUX</v>
      </c>
      <c r="D34" s="30" t="str">
        <f>'P01'!$D31</f>
        <v>NT</v>
      </c>
      <c r="E34" s="30" t="e">
        <f>#REF!</f>
        <v>#REF!</v>
      </c>
      <c r="F34" s="30" t="e">
        <f>#REF!</f>
        <v>#REF!</v>
      </c>
      <c r="G34" s="30" t="e">
        <f>#REF!</f>
        <v>#REF!</v>
      </c>
      <c r="H34" s="30" t="e">
        <f>#REF!</f>
        <v>#REF!</v>
      </c>
      <c r="I34" s="30" t="e">
        <f>#REF!</f>
        <v>#REF!</v>
      </c>
      <c r="J34" s="30" t="e">
        <f>#REF!</f>
        <v>#REF!</v>
      </c>
      <c r="K34" s="30" t="e">
        <f>#REF!</f>
        <v>#REF!</v>
      </c>
      <c r="L34" s="30" t="e">
        <f>#REF!</f>
        <v>#REF!</v>
      </c>
      <c r="M34" s="30" t="e">
        <f>#REF!</f>
        <v>#REF!</v>
      </c>
      <c r="N34" s="30" t="e">
        <f>#REF!</f>
        <v>#REF!</v>
      </c>
      <c r="O34" s="30" t="e">
        <f>#REF!</f>
        <v>#REF!</v>
      </c>
      <c r="P34" s="30" t="e">
        <f>#REF!</f>
        <v>#REF!</v>
      </c>
      <c r="Q34" s="30" t="e">
        <f>#REF!</f>
        <v>#REF!</v>
      </c>
      <c r="R34" s="30" t="e">
        <f>#REF!</f>
        <v>#REF!</v>
      </c>
      <c r="S34" s="30" t="e">
        <f>#REF!</f>
        <v>#REF!</v>
      </c>
      <c r="T34" s="30" t="e">
        <f>#REF!</f>
        <v>#REF!</v>
      </c>
      <c r="U34" s="30" t="e">
        <f>#REF!</f>
        <v>#REF!</v>
      </c>
      <c r="V34" s="30" t="e">
        <f>#REF!</f>
        <v>#REF!</v>
      </c>
      <c r="W34" s="30" t="e">
        <f>#REF!</f>
        <v>#REF!</v>
      </c>
      <c r="X34" s="32">
        <f t="shared" ref="X34:X41" si="12">COUNTIF(D34:W34,"C")</f>
        <v>0</v>
      </c>
      <c r="Y34" s="32">
        <f t="shared" ref="Y34:Y41" si="13">COUNTIF(D34:W34,"NC")</f>
        <v>0</v>
      </c>
      <c r="Z34" s="32">
        <f t="shared" ref="Z34:Z41" si="14">COUNTIF(D34:W34,"NA")</f>
        <v>0</v>
      </c>
      <c r="AA34" s="32">
        <f t="shared" ref="AA34:AA41" si="15">COUNTIF(D34:W34,"NT")</f>
        <v>1</v>
      </c>
      <c r="AB34" t="str">
        <f t="shared" ref="AB34:AB41" si="16">IF(Y34&gt;0,"NC",IF(X34&gt;0,"C",IF(AA34&gt;0,"NT","NA")))</f>
        <v>NT</v>
      </c>
      <c r="AC34">
        <v>5</v>
      </c>
      <c r="AD34" s="30" t="str">
        <f>Critères!$B34</f>
        <v>5.1</v>
      </c>
      <c r="AE34" s="30" t="str">
        <f>Critères!$A34</f>
        <v>TABLEAUX</v>
      </c>
      <c r="AF34" s="30" t="str">
        <f>'P01'!$E31</f>
        <v>N</v>
      </c>
      <c r="AG34" s="30" t="e">
        <f>#REF!</f>
        <v>#REF!</v>
      </c>
      <c r="AH34" s="30" t="e">
        <f>#REF!</f>
        <v>#REF!</v>
      </c>
      <c r="AI34" s="30" t="e">
        <f>#REF!</f>
        <v>#REF!</v>
      </c>
      <c r="AJ34" s="30" t="e">
        <f>#REF!</f>
        <v>#REF!</v>
      </c>
      <c r="AK34" s="30" t="e">
        <f>#REF!</f>
        <v>#REF!</v>
      </c>
      <c r="AL34" s="30" t="e">
        <f>#REF!</f>
        <v>#REF!</v>
      </c>
      <c r="AM34" s="30" t="e">
        <f>#REF!</f>
        <v>#REF!</v>
      </c>
      <c r="AN34" s="30" t="e">
        <f>#REF!</f>
        <v>#REF!</v>
      </c>
      <c r="AO34" s="30" t="e">
        <f>#REF!</f>
        <v>#REF!</v>
      </c>
      <c r="AP34" s="30" t="e">
        <f>#REF!</f>
        <v>#REF!</v>
      </c>
      <c r="AQ34" s="30" t="e">
        <f>#REF!</f>
        <v>#REF!</v>
      </c>
      <c r="AR34" s="30" t="e">
        <f>#REF!</f>
        <v>#REF!</v>
      </c>
      <c r="AS34" s="30" t="e">
        <f>#REF!</f>
        <v>#REF!</v>
      </c>
      <c r="AT34" s="30" t="e">
        <f>#REF!</f>
        <v>#REF!</v>
      </c>
      <c r="AU34" s="30" t="e">
        <f>#REF!</f>
        <v>#REF!</v>
      </c>
      <c r="AV34" s="30" t="e">
        <f>#REF!</f>
        <v>#REF!</v>
      </c>
      <c r="AW34" s="30" t="e">
        <f>#REF!</f>
        <v>#REF!</v>
      </c>
      <c r="AX34" s="30" t="e">
        <f>#REF!</f>
        <v>#REF!</v>
      </c>
      <c r="AY34" s="30" t="e">
        <f>#REF!</f>
        <v>#REF!</v>
      </c>
      <c r="AZ34" s="32">
        <f t="shared" ref="AZ34:AZ41" si="17">COUNTIF(AF34:AY34,"D")</f>
        <v>0</v>
      </c>
    </row>
    <row r="35" spans="1:52" ht="15.5">
      <c r="A35">
        <v>5</v>
      </c>
      <c r="B35" s="30" t="str">
        <f>Critères!$B35</f>
        <v>5.2</v>
      </c>
      <c r="C35" s="30" t="str">
        <f>Critères!$A34</f>
        <v>TABLEAUX</v>
      </c>
      <c r="D35" s="30" t="str">
        <f>'P01'!$D32</f>
        <v>NT</v>
      </c>
      <c r="E35" s="30" t="e">
        <f>#REF!</f>
        <v>#REF!</v>
      </c>
      <c r="F35" s="30" t="e">
        <f>#REF!</f>
        <v>#REF!</v>
      </c>
      <c r="G35" s="30" t="e">
        <f>#REF!</f>
        <v>#REF!</v>
      </c>
      <c r="H35" s="30" t="e">
        <f>#REF!</f>
        <v>#REF!</v>
      </c>
      <c r="I35" s="30" t="e">
        <f>#REF!</f>
        <v>#REF!</v>
      </c>
      <c r="J35" s="30" t="e">
        <f>#REF!</f>
        <v>#REF!</v>
      </c>
      <c r="K35" s="30" t="e">
        <f>#REF!</f>
        <v>#REF!</v>
      </c>
      <c r="L35" s="30" t="e">
        <f>#REF!</f>
        <v>#REF!</v>
      </c>
      <c r="M35" s="30" t="e">
        <f>#REF!</f>
        <v>#REF!</v>
      </c>
      <c r="N35" s="30" t="e">
        <f>#REF!</f>
        <v>#REF!</v>
      </c>
      <c r="O35" s="30" t="e">
        <f>#REF!</f>
        <v>#REF!</v>
      </c>
      <c r="P35" s="30" t="e">
        <f>#REF!</f>
        <v>#REF!</v>
      </c>
      <c r="Q35" s="30" t="e">
        <f>#REF!</f>
        <v>#REF!</v>
      </c>
      <c r="R35" s="30" t="e">
        <f>#REF!</f>
        <v>#REF!</v>
      </c>
      <c r="S35" s="30" t="e">
        <f>#REF!</f>
        <v>#REF!</v>
      </c>
      <c r="T35" s="30" t="e">
        <f>#REF!</f>
        <v>#REF!</v>
      </c>
      <c r="U35" s="30" t="e">
        <f>#REF!</f>
        <v>#REF!</v>
      </c>
      <c r="V35" s="30" t="e">
        <f>#REF!</f>
        <v>#REF!</v>
      </c>
      <c r="W35" s="30" t="e">
        <f>#REF!</f>
        <v>#REF!</v>
      </c>
      <c r="X35" s="32">
        <f t="shared" si="12"/>
        <v>0</v>
      </c>
      <c r="Y35" s="32">
        <f t="shared" si="13"/>
        <v>0</v>
      </c>
      <c r="Z35" s="32">
        <f t="shared" si="14"/>
        <v>0</v>
      </c>
      <c r="AA35" s="32">
        <f t="shared" si="15"/>
        <v>1</v>
      </c>
      <c r="AB35" t="str">
        <f t="shared" si="16"/>
        <v>NT</v>
      </c>
      <c r="AC35">
        <v>5</v>
      </c>
      <c r="AD35" s="30" t="str">
        <f>Critères!$B35</f>
        <v>5.2</v>
      </c>
      <c r="AE35" s="30" t="str">
        <f>Critères!$A34</f>
        <v>TABLEAUX</v>
      </c>
      <c r="AF35" s="30" t="str">
        <f>'P01'!$E32</f>
        <v>N</v>
      </c>
      <c r="AG35" s="30" t="e">
        <f>#REF!</f>
        <v>#REF!</v>
      </c>
      <c r="AH35" s="30" t="e">
        <f>#REF!</f>
        <v>#REF!</v>
      </c>
      <c r="AI35" s="30" t="e">
        <f>#REF!</f>
        <v>#REF!</v>
      </c>
      <c r="AJ35" s="30" t="e">
        <f>#REF!</f>
        <v>#REF!</v>
      </c>
      <c r="AK35" s="30" t="e">
        <f>#REF!</f>
        <v>#REF!</v>
      </c>
      <c r="AL35" s="30" t="e">
        <f>#REF!</f>
        <v>#REF!</v>
      </c>
      <c r="AM35" s="30" t="e">
        <f>#REF!</f>
        <v>#REF!</v>
      </c>
      <c r="AN35" s="30" t="e">
        <f>#REF!</f>
        <v>#REF!</v>
      </c>
      <c r="AO35" s="30" t="e">
        <f>#REF!</f>
        <v>#REF!</v>
      </c>
      <c r="AP35" s="30" t="e">
        <f>#REF!</f>
        <v>#REF!</v>
      </c>
      <c r="AQ35" s="30" t="e">
        <f>#REF!</f>
        <v>#REF!</v>
      </c>
      <c r="AR35" s="30" t="e">
        <f>#REF!</f>
        <v>#REF!</v>
      </c>
      <c r="AS35" s="30" t="e">
        <f>#REF!</f>
        <v>#REF!</v>
      </c>
      <c r="AT35" s="30" t="e">
        <f>#REF!</f>
        <v>#REF!</v>
      </c>
      <c r="AU35" s="30" t="e">
        <f>#REF!</f>
        <v>#REF!</v>
      </c>
      <c r="AV35" s="30" t="e">
        <f>#REF!</f>
        <v>#REF!</v>
      </c>
      <c r="AW35" s="30" t="e">
        <f>#REF!</f>
        <v>#REF!</v>
      </c>
      <c r="AX35" s="30" t="e">
        <f>#REF!</f>
        <v>#REF!</v>
      </c>
      <c r="AY35" s="30" t="e">
        <f>#REF!</f>
        <v>#REF!</v>
      </c>
      <c r="AZ35" s="32">
        <f t="shared" si="17"/>
        <v>0</v>
      </c>
    </row>
    <row r="36" spans="1:52" ht="15.5">
      <c r="A36">
        <v>5</v>
      </c>
      <c r="B36" s="30" t="str">
        <f>Critères!$B36</f>
        <v>5.3</v>
      </c>
      <c r="C36" s="30" t="str">
        <f>Critères!$A34</f>
        <v>TABLEAUX</v>
      </c>
      <c r="D36" s="30" t="str">
        <f>'P01'!$D33</f>
        <v>NT</v>
      </c>
      <c r="E36" s="30" t="e">
        <f>#REF!</f>
        <v>#REF!</v>
      </c>
      <c r="F36" s="30" t="e">
        <f>#REF!</f>
        <v>#REF!</v>
      </c>
      <c r="G36" s="30" t="e">
        <f>#REF!</f>
        <v>#REF!</v>
      </c>
      <c r="H36" s="30" t="e">
        <f>#REF!</f>
        <v>#REF!</v>
      </c>
      <c r="I36" s="30" t="e">
        <f>#REF!</f>
        <v>#REF!</v>
      </c>
      <c r="J36" s="30" t="e">
        <f>#REF!</f>
        <v>#REF!</v>
      </c>
      <c r="K36" s="30" t="e">
        <f>#REF!</f>
        <v>#REF!</v>
      </c>
      <c r="L36" s="30" t="e">
        <f>#REF!</f>
        <v>#REF!</v>
      </c>
      <c r="M36" s="30" t="e">
        <f>#REF!</f>
        <v>#REF!</v>
      </c>
      <c r="N36" s="30" t="e">
        <f>#REF!</f>
        <v>#REF!</v>
      </c>
      <c r="O36" s="30" t="e">
        <f>#REF!</f>
        <v>#REF!</v>
      </c>
      <c r="P36" s="30" t="e">
        <f>#REF!</f>
        <v>#REF!</v>
      </c>
      <c r="Q36" s="30" t="e">
        <f>#REF!</f>
        <v>#REF!</v>
      </c>
      <c r="R36" s="30" t="e">
        <f>#REF!</f>
        <v>#REF!</v>
      </c>
      <c r="S36" s="30" t="e">
        <f>#REF!</f>
        <v>#REF!</v>
      </c>
      <c r="T36" s="30" t="e">
        <f>#REF!</f>
        <v>#REF!</v>
      </c>
      <c r="U36" s="30" t="e">
        <f>#REF!</f>
        <v>#REF!</v>
      </c>
      <c r="V36" s="30" t="e">
        <f>#REF!</f>
        <v>#REF!</v>
      </c>
      <c r="W36" s="30" t="e">
        <f>#REF!</f>
        <v>#REF!</v>
      </c>
      <c r="X36" s="32">
        <f t="shared" si="12"/>
        <v>0</v>
      </c>
      <c r="Y36" s="32">
        <f t="shared" si="13"/>
        <v>0</v>
      </c>
      <c r="Z36" s="32">
        <f t="shared" si="14"/>
        <v>0</v>
      </c>
      <c r="AA36" s="32">
        <f t="shared" si="15"/>
        <v>1</v>
      </c>
      <c r="AB36" t="str">
        <f t="shared" si="16"/>
        <v>NT</v>
      </c>
      <c r="AC36">
        <v>5</v>
      </c>
      <c r="AD36" s="30" t="str">
        <f>Critères!$B36</f>
        <v>5.3</v>
      </c>
      <c r="AE36" s="30" t="str">
        <f>Critères!$A34</f>
        <v>TABLEAUX</v>
      </c>
      <c r="AF36" s="30" t="str">
        <f>'P01'!$E33</f>
        <v>N</v>
      </c>
      <c r="AG36" s="30" t="e">
        <f>#REF!</f>
        <v>#REF!</v>
      </c>
      <c r="AH36" s="30" t="e">
        <f>#REF!</f>
        <v>#REF!</v>
      </c>
      <c r="AI36" s="30" t="e">
        <f>#REF!</f>
        <v>#REF!</v>
      </c>
      <c r="AJ36" s="30" t="e">
        <f>#REF!</f>
        <v>#REF!</v>
      </c>
      <c r="AK36" s="30" t="e">
        <f>#REF!</f>
        <v>#REF!</v>
      </c>
      <c r="AL36" s="30" t="e">
        <f>#REF!</f>
        <v>#REF!</v>
      </c>
      <c r="AM36" s="30" t="e">
        <f>#REF!</f>
        <v>#REF!</v>
      </c>
      <c r="AN36" s="30" t="e">
        <f>#REF!</f>
        <v>#REF!</v>
      </c>
      <c r="AO36" s="30" t="e">
        <f>#REF!</f>
        <v>#REF!</v>
      </c>
      <c r="AP36" s="30" t="e">
        <f>#REF!</f>
        <v>#REF!</v>
      </c>
      <c r="AQ36" s="30" t="e">
        <f>#REF!</f>
        <v>#REF!</v>
      </c>
      <c r="AR36" s="30" t="e">
        <f>#REF!</f>
        <v>#REF!</v>
      </c>
      <c r="AS36" s="30" t="e">
        <f>#REF!</f>
        <v>#REF!</v>
      </c>
      <c r="AT36" s="30" t="e">
        <f>#REF!</f>
        <v>#REF!</v>
      </c>
      <c r="AU36" s="30" t="e">
        <f>#REF!</f>
        <v>#REF!</v>
      </c>
      <c r="AV36" s="30" t="e">
        <f>#REF!</f>
        <v>#REF!</v>
      </c>
      <c r="AW36" s="30" t="e">
        <f>#REF!</f>
        <v>#REF!</v>
      </c>
      <c r="AX36" s="30" t="e">
        <f>#REF!</f>
        <v>#REF!</v>
      </c>
      <c r="AY36" s="30" t="e">
        <f>#REF!</f>
        <v>#REF!</v>
      </c>
      <c r="AZ36" s="32">
        <f t="shared" si="17"/>
        <v>0</v>
      </c>
    </row>
    <row r="37" spans="1:52" ht="15.5">
      <c r="A37">
        <v>5</v>
      </c>
      <c r="B37" s="30" t="str">
        <f>Critères!$B37</f>
        <v>5.4</v>
      </c>
      <c r="C37" s="30" t="str">
        <f>Critères!$A34</f>
        <v>TABLEAUX</v>
      </c>
      <c r="D37" s="30" t="str">
        <f>'P01'!$D34</f>
        <v>NT</v>
      </c>
      <c r="E37" s="30" t="e">
        <f>#REF!</f>
        <v>#REF!</v>
      </c>
      <c r="F37" s="30" t="e">
        <f>#REF!</f>
        <v>#REF!</v>
      </c>
      <c r="G37" s="30" t="e">
        <f>#REF!</f>
        <v>#REF!</v>
      </c>
      <c r="H37" s="30" t="e">
        <f>#REF!</f>
        <v>#REF!</v>
      </c>
      <c r="I37" s="30" t="e">
        <f>#REF!</f>
        <v>#REF!</v>
      </c>
      <c r="J37" s="30" t="e">
        <f>#REF!</f>
        <v>#REF!</v>
      </c>
      <c r="K37" s="30" t="e">
        <f>#REF!</f>
        <v>#REF!</v>
      </c>
      <c r="L37" s="30" t="e">
        <f>#REF!</f>
        <v>#REF!</v>
      </c>
      <c r="M37" s="30" t="e">
        <f>#REF!</f>
        <v>#REF!</v>
      </c>
      <c r="N37" s="30" t="e">
        <f>#REF!</f>
        <v>#REF!</v>
      </c>
      <c r="O37" s="30" t="e">
        <f>#REF!</f>
        <v>#REF!</v>
      </c>
      <c r="P37" s="30" t="e">
        <f>#REF!</f>
        <v>#REF!</v>
      </c>
      <c r="Q37" s="30" t="e">
        <f>#REF!</f>
        <v>#REF!</v>
      </c>
      <c r="R37" s="30" t="e">
        <f>#REF!</f>
        <v>#REF!</v>
      </c>
      <c r="S37" s="30" t="e">
        <f>#REF!</f>
        <v>#REF!</v>
      </c>
      <c r="T37" s="30" t="e">
        <f>#REF!</f>
        <v>#REF!</v>
      </c>
      <c r="U37" s="30" t="e">
        <f>#REF!</f>
        <v>#REF!</v>
      </c>
      <c r="V37" s="30" t="e">
        <f>#REF!</f>
        <v>#REF!</v>
      </c>
      <c r="W37" s="30" t="e">
        <f>#REF!</f>
        <v>#REF!</v>
      </c>
      <c r="X37" s="32">
        <f t="shared" si="12"/>
        <v>0</v>
      </c>
      <c r="Y37" s="32">
        <f t="shared" si="13"/>
        <v>0</v>
      </c>
      <c r="Z37" s="32">
        <f t="shared" si="14"/>
        <v>0</v>
      </c>
      <c r="AA37" s="32">
        <f t="shared" si="15"/>
        <v>1</v>
      </c>
      <c r="AB37" t="str">
        <f t="shared" si="16"/>
        <v>NT</v>
      </c>
      <c r="AC37">
        <v>5</v>
      </c>
      <c r="AD37" s="30" t="str">
        <f>Critères!$B37</f>
        <v>5.4</v>
      </c>
      <c r="AE37" s="30" t="str">
        <f>Critères!$A34</f>
        <v>TABLEAUX</v>
      </c>
      <c r="AF37" s="30" t="str">
        <f>'P01'!$E34</f>
        <v>N</v>
      </c>
      <c r="AG37" s="30" t="e">
        <f>#REF!</f>
        <v>#REF!</v>
      </c>
      <c r="AH37" s="30" t="e">
        <f>#REF!</f>
        <v>#REF!</v>
      </c>
      <c r="AI37" s="30" t="e">
        <f>#REF!</f>
        <v>#REF!</v>
      </c>
      <c r="AJ37" s="30" t="e">
        <f>#REF!</f>
        <v>#REF!</v>
      </c>
      <c r="AK37" s="30" t="e">
        <f>#REF!</f>
        <v>#REF!</v>
      </c>
      <c r="AL37" s="30" t="e">
        <f>#REF!</f>
        <v>#REF!</v>
      </c>
      <c r="AM37" s="30" t="e">
        <f>#REF!</f>
        <v>#REF!</v>
      </c>
      <c r="AN37" s="30" t="e">
        <f>#REF!</f>
        <v>#REF!</v>
      </c>
      <c r="AO37" s="30" t="e">
        <f>#REF!</f>
        <v>#REF!</v>
      </c>
      <c r="AP37" s="30" t="e">
        <f>#REF!</f>
        <v>#REF!</v>
      </c>
      <c r="AQ37" s="30" t="e">
        <f>#REF!</f>
        <v>#REF!</v>
      </c>
      <c r="AR37" s="30" t="e">
        <f>#REF!</f>
        <v>#REF!</v>
      </c>
      <c r="AS37" s="30" t="e">
        <f>#REF!</f>
        <v>#REF!</v>
      </c>
      <c r="AT37" s="30" t="e">
        <f>#REF!</f>
        <v>#REF!</v>
      </c>
      <c r="AU37" s="30" t="e">
        <f>#REF!</f>
        <v>#REF!</v>
      </c>
      <c r="AV37" s="30" t="e">
        <f>#REF!</f>
        <v>#REF!</v>
      </c>
      <c r="AW37" s="30" t="e">
        <f>#REF!</f>
        <v>#REF!</v>
      </c>
      <c r="AX37" s="30" t="e">
        <f>#REF!</f>
        <v>#REF!</v>
      </c>
      <c r="AY37" s="30" t="e">
        <f>#REF!</f>
        <v>#REF!</v>
      </c>
      <c r="AZ37" s="32">
        <f t="shared" si="17"/>
        <v>0</v>
      </c>
    </row>
    <row r="38" spans="1:52" ht="15.5">
      <c r="A38">
        <v>5</v>
      </c>
      <c r="B38" s="30" t="str">
        <f>Critères!$B38</f>
        <v>5.5</v>
      </c>
      <c r="C38" s="30" t="str">
        <f>Critères!$A34</f>
        <v>TABLEAUX</v>
      </c>
      <c r="D38" s="30" t="str">
        <f>'P01'!$D35</f>
        <v>NT</v>
      </c>
      <c r="E38" s="30" t="e">
        <f>#REF!</f>
        <v>#REF!</v>
      </c>
      <c r="F38" s="30" t="e">
        <f>#REF!</f>
        <v>#REF!</v>
      </c>
      <c r="G38" s="30" t="e">
        <f>#REF!</f>
        <v>#REF!</v>
      </c>
      <c r="H38" s="30" t="e">
        <f>#REF!</f>
        <v>#REF!</v>
      </c>
      <c r="I38" s="30" t="e">
        <f>#REF!</f>
        <v>#REF!</v>
      </c>
      <c r="J38" s="30" t="e">
        <f>#REF!</f>
        <v>#REF!</v>
      </c>
      <c r="K38" s="30" t="e">
        <f>#REF!</f>
        <v>#REF!</v>
      </c>
      <c r="L38" s="30" t="e">
        <f>#REF!</f>
        <v>#REF!</v>
      </c>
      <c r="M38" s="30" t="e">
        <f>#REF!</f>
        <v>#REF!</v>
      </c>
      <c r="N38" s="30" t="e">
        <f>#REF!</f>
        <v>#REF!</v>
      </c>
      <c r="O38" s="30" t="e">
        <f>#REF!</f>
        <v>#REF!</v>
      </c>
      <c r="P38" s="30" t="e">
        <f>#REF!</f>
        <v>#REF!</v>
      </c>
      <c r="Q38" s="30" t="e">
        <f>#REF!</f>
        <v>#REF!</v>
      </c>
      <c r="R38" s="30" t="e">
        <f>#REF!</f>
        <v>#REF!</v>
      </c>
      <c r="S38" s="30" t="e">
        <f>#REF!</f>
        <v>#REF!</v>
      </c>
      <c r="T38" s="30" t="e">
        <f>#REF!</f>
        <v>#REF!</v>
      </c>
      <c r="U38" s="30" t="e">
        <f>#REF!</f>
        <v>#REF!</v>
      </c>
      <c r="V38" s="30" t="e">
        <f>#REF!</f>
        <v>#REF!</v>
      </c>
      <c r="W38" s="30" t="e">
        <f>#REF!</f>
        <v>#REF!</v>
      </c>
      <c r="X38" s="32">
        <f t="shared" si="12"/>
        <v>0</v>
      </c>
      <c r="Y38" s="32">
        <f t="shared" si="13"/>
        <v>0</v>
      </c>
      <c r="Z38" s="32">
        <f t="shared" si="14"/>
        <v>0</v>
      </c>
      <c r="AA38" s="32">
        <f t="shared" si="15"/>
        <v>1</v>
      </c>
      <c r="AB38" t="str">
        <f t="shared" si="16"/>
        <v>NT</v>
      </c>
      <c r="AC38">
        <v>5</v>
      </c>
      <c r="AD38" s="30" t="str">
        <f>Critères!$B38</f>
        <v>5.5</v>
      </c>
      <c r="AE38" s="30" t="str">
        <f>Critères!$A34</f>
        <v>TABLEAUX</v>
      </c>
      <c r="AF38" s="30" t="str">
        <f>'P01'!$E35</f>
        <v>N</v>
      </c>
      <c r="AG38" s="30" t="e">
        <f>#REF!</f>
        <v>#REF!</v>
      </c>
      <c r="AH38" s="30" t="e">
        <f>#REF!</f>
        <v>#REF!</v>
      </c>
      <c r="AI38" s="30" t="e">
        <f>#REF!</f>
        <v>#REF!</v>
      </c>
      <c r="AJ38" s="30" t="e">
        <f>#REF!</f>
        <v>#REF!</v>
      </c>
      <c r="AK38" s="30" t="e">
        <f>#REF!</f>
        <v>#REF!</v>
      </c>
      <c r="AL38" s="30" t="e">
        <f>#REF!</f>
        <v>#REF!</v>
      </c>
      <c r="AM38" s="30" t="e">
        <f>#REF!</f>
        <v>#REF!</v>
      </c>
      <c r="AN38" s="30" t="e">
        <f>#REF!</f>
        <v>#REF!</v>
      </c>
      <c r="AO38" s="30" t="e">
        <f>#REF!</f>
        <v>#REF!</v>
      </c>
      <c r="AP38" s="30" t="e">
        <f>#REF!</f>
        <v>#REF!</v>
      </c>
      <c r="AQ38" s="30" t="e">
        <f>#REF!</f>
        <v>#REF!</v>
      </c>
      <c r="AR38" s="30" t="e">
        <f>#REF!</f>
        <v>#REF!</v>
      </c>
      <c r="AS38" s="30" t="e">
        <f>#REF!</f>
        <v>#REF!</v>
      </c>
      <c r="AT38" s="30" t="e">
        <f>#REF!</f>
        <v>#REF!</v>
      </c>
      <c r="AU38" s="30" t="e">
        <f>#REF!</f>
        <v>#REF!</v>
      </c>
      <c r="AV38" s="30" t="e">
        <f>#REF!</f>
        <v>#REF!</v>
      </c>
      <c r="AW38" s="30" t="e">
        <f>#REF!</f>
        <v>#REF!</v>
      </c>
      <c r="AX38" s="30" t="e">
        <f>#REF!</f>
        <v>#REF!</v>
      </c>
      <c r="AY38" s="30" t="e">
        <f>#REF!</f>
        <v>#REF!</v>
      </c>
      <c r="AZ38" s="32">
        <f t="shared" si="17"/>
        <v>0</v>
      </c>
    </row>
    <row r="39" spans="1:52" ht="15.5">
      <c r="A39">
        <v>5</v>
      </c>
      <c r="B39" s="30" t="str">
        <f>Critères!$B39</f>
        <v>5.6</v>
      </c>
      <c r="C39" s="30" t="str">
        <f>Critères!$A34</f>
        <v>TABLEAUX</v>
      </c>
      <c r="D39" s="30" t="str">
        <f>'P01'!$D36</f>
        <v>NT</v>
      </c>
      <c r="E39" s="30" t="e">
        <f>#REF!</f>
        <v>#REF!</v>
      </c>
      <c r="F39" s="30" t="e">
        <f>#REF!</f>
        <v>#REF!</v>
      </c>
      <c r="G39" s="30" t="e">
        <f>#REF!</f>
        <v>#REF!</v>
      </c>
      <c r="H39" s="30" t="e">
        <f>#REF!</f>
        <v>#REF!</v>
      </c>
      <c r="I39" s="30" t="e">
        <f>#REF!</f>
        <v>#REF!</v>
      </c>
      <c r="J39" s="30" t="e">
        <f>#REF!</f>
        <v>#REF!</v>
      </c>
      <c r="K39" s="30" t="e">
        <f>#REF!</f>
        <v>#REF!</v>
      </c>
      <c r="L39" s="30" t="e">
        <f>#REF!</f>
        <v>#REF!</v>
      </c>
      <c r="M39" s="30" t="e">
        <f>#REF!</f>
        <v>#REF!</v>
      </c>
      <c r="N39" s="30" t="e">
        <f>#REF!</f>
        <v>#REF!</v>
      </c>
      <c r="O39" s="30" t="e">
        <f>#REF!</f>
        <v>#REF!</v>
      </c>
      <c r="P39" s="30" t="e">
        <f>#REF!</f>
        <v>#REF!</v>
      </c>
      <c r="Q39" s="30" t="e">
        <f>#REF!</f>
        <v>#REF!</v>
      </c>
      <c r="R39" s="30" t="e">
        <f>#REF!</f>
        <v>#REF!</v>
      </c>
      <c r="S39" s="30" t="e">
        <f>#REF!</f>
        <v>#REF!</v>
      </c>
      <c r="T39" s="30" t="e">
        <f>#REF!</f>
        <v>#REF!</v>
      </c>
      <c r="U39" s="30" t="e">
        <f>#REF!</f>
        <v>#REF!</v>
      </c>
      <c r="V39" s="30" t="e">
        <f>#REF!</f>
        <v>#REF!</v>
      </c>
      <c r="W39" s="30" t="e">
        <f>#REF!</f>
        <v>#REF!</v>
      </c>
      <c r="X39" s="32">
        <f t="shared" si="12"/>
        <v>0</v>
      </c>
      <c r="Y39" s="32">
        <f t="shared" si="13"/>
        <v>0</v>
      </c>
      <c r="Z39" s="32">
        <f t="shared" si="14"/>
        <v>0</v>
      </c>
      <c r="AA39" s="32">
        <f t="shared" si="15"/>
        <v>1</v>
      </c>
      <c r="AB39" t="str">
        <f t="shared" si="16"/>
        <v>NT</v>
      </c>
      <c r="AC39">
        <v>5</v>
      </c>
      <c r="AD39" s="30" t="str">
        <f>Critères!$B39</f>
        <v>5.6</v>
      </c>
      <c r="AE39" s="30" t="str">
        <f>Critères!$A34</f>
        <v>TABLEAUX</v>
      </c>
      <c r="AF39" s="30" t="str">
        <f>'P01'!$E36</f>
        <v>N</v>
      </c>
      <c r="AG39" s="30" t="e">
        <f>#REF!</f>
        <v>#REF!</v>
      </c>
      <c r="AH39" s="30" t="e">
        <f>#REF!</f>
        <v>#REF!</v>
      </c>
      <c r="AI39" s="30" t="e">
        <f>#REF!</f>
        <v>#REF!</v>
      </c>
      <c r="AJ39" s="30" t="e">
        <f>#REF!</f>
        <v>#REF!</v>
      </c>
      <c r="AK39" s="30" t="e">
        <f>#REF!</f>
        <v>#REF!</v>
      </c>
      <c r="AL39" s="30" t="e">
        <f>#REF!</f>
        <v>#REF!</v>
      </c>
      <c r="AM39" s="30" t="e">
        <f>#REF!</f>
        <v>#REF!</v>
      </c>
      <c r="AN39" s="30" t="e">
        <f>#REF!</f>
        <v>#REF!</v>
      </c>
      <c r="AO39" s="30" t="e">
        <f>#REF!</f>
        <v>#REF!</v>
      </c>
      <c r="AP39" s="30" t="e">
        <f>#REF!</f>
        <v>#REF!</v>
      </c>
      <c r="AQ39" s="30" t="e">
        <f>#REF!</f>
        <v>#REF!</v>
      </c>
      <c r="AR39" s="30" t="e">
        <f>#REF!</f>
        <v>#REF!</v>
      </c>
      <c r="AS39" s="30" t="e">
        <f>#REF!</f>
        <v>#REF!</v>
      </c>
      <c r="AT39" s="30" t="e">
        <f>#REF!</f>
        <v>#REF!</v>
      </c>
      <c r="AU39" s="30" t="e">
        <f>#REF!</f>
        <v>#REF!</v>
      </c>
      <c r="AV39" s="30" t="e">
        <f>#REF!</f>
        <v>#REF!</v>
      </c>
      <c r="AW39" s="30" t="e">
        <f>#REF!</f>
        <v>#REF!</v>
      </c>
      <c r="AX39" s="30" t="e">
        <f>#REF!</f>
        <v>#REF!</v>
      </c>
      <c r="AY39" s="30" t="e">
        <f>#REF!</f>
        <v>#REF!</v>
      </c>
      <c r="AZ39" s="32">
        <f t="shared" si="17"/>
        <v>0</v>
      </c>
    </row>
    <row r="40" spans="1:52" ht="15.5">
      <c r="A40">
        <v>5</v>
      </c>
      <c r="B40" s="30" t="str">
        <f>Critères!$B40</f>
        <v>5.7</v>
      </c>
      <c r="C40" s="30" t="str">
        <f>Critères!$A34</f>
        <v>TABLEAUX</v>
      </c>
      <c r="D40" s="30" t="str">
        <f>'P01'!$D37</f>
        <v>NT</v>
      </c>
      <c r="E40" s="30" t="e">
        <f>#REF!</f>
        <v>#REF!</v>
      </c>
      <c r="F40" s="30" t="e">
        <f>#REF!</f>
        <v>#REF!</v>
      </c>
      <c r="G40" s="30" t="e">
        <f>#REF!</f>
        <v>#REF!</v>
      </c>
      <c r="H40" s="30" t="e">
        <f>#REF!</f>
        <v>#REF!</v>
      </c>
      <c r="I40" s="30" t="e">
        <f>#REF!</f>
        <v>#REF!</v>
      </c>
      <c r="J40" s="30" t="e">
        <f>#REF!</f>
        <v>#REF!</v>
      </c>
      <c r="K40" s="30" t="e">
        <f>#REF!</f>
        <v>#REF!</v>
      </c>
      <c r="L40" s="30" t="e">
        <f>#REF!</f>
        <v>#REF!</v>
      </c>
      <c r="M40" s="30" t="e">
        <f>#REF!</f>
        <v>#REF!</v>
      </c>
      <c r="N40" s="30" t="e">
        <f>#REF!</f>
        <v>#REF!</v>
      </c>
      <c r="O40" s="30" t="e">
        <f>#REF!</f>
        <v>#REF!</v>
      </c>
      <c r="P40" s="30" t="e">
        <f>#REF!</f>
        <v>#REF!</v>
      </c>
      <c r="Q40" s="30" t="e">
        <f>#REF!</f>
        <v>#REF!</v>
      </c>
      <c r="R40" s="30" t="e">
        <f>#REF!</f>
        <v>#REF!</v>
      </c>
      <c r="S40" s="30" t="e">
        <f>#REF!</f>
        <v>#REF!</v>
      </c>
      <c r="T40" s="30" t="e">
        <f>#REF!</f>
        <v>#REF!</v>
      </c>
      <c r="U40" s="30" t="e">
        <f>#REF!</f>
        <v>#REF!</v>
      </c>
      <c r="V40" s="30" t="e">
        <f>#REF!</f>
        <v>#REF!</v>
      </c>
      <c r="W40" s="30" t="e">
        <f>#REF!</f>
        <v>#REF!</v>
      </c>
      <c r="X40" s="32">
        <f t="shared" si="12"/>
        <v>0</v>
      </c>
      <c r="Y40" s="32">
        <f t="shared" si="13"/>
        <v>0</v>
      </c>
      <c r="Z40" s="32">
        <f t="shared" si="14"/>
        <v>0</v>
      </c>
      <c r="AA40" s="32">
        <f t="shared" si="15"/>
        <v>1</v>
      </c>
      <c r="AB40" t="str">
        <f t="shared" si="16"/>
        <v>NT</v>
      </c>
      <c r="AC40">
        <v>5</v>
      </c>
      <c r="AD40" s="30" t="str">
        <f>Critères!$B40</f>
        <v>5.7</v>
      </c>
      <c r="AE40" s="30" t="str">
        <f>Critères!$A34</f>
        <v>TABLEAUX</v>
      </c>
      <c r="AF40" s="30" t="str">
        <f>'P01'!$E37</f>
        <v>N</v>
      </c>
      <c r="AG40" s="30" t="e">
        <f>#REF!</f>
        <v>#REF!</v>
      </c>
      <c r="AH40" s="30" t="e">
        <f>#REF!</f>
        <v>#REF!</v>
      </c>
      <c r="AI40" s="30" t="e">
        <f>#REF!</f>
        <v>#REF!</v>
      </c>
      <c r="AJ40" s="30" t="e">
        <f>#REF!</f>
        <v>#REF!</v>
      </c>
      <c r="AK40" s="30" t="e">
        <f>#REF!</f>
        <v>#REF!</v>
      </c>
      <c r="AL40" s="30" t="e">
        <f>#REF!</f>
        <v>#REF!</v>
      </c>
      <c r="AM40" s="30" t="e">
        <f>#REF!</f>
        <v>#REF!</v>
      </c>
      <c r="AN40" s="30" t="e">
        <f>#REF!</f>
        <v>#REF!</v>
      </c>
      <c r="AO40" s="30" t="e">
        <f>#REF!</f>
        <v>#REF!</v>
      </c>
      <c r="AP40" s="30" t="e">
        <f>#REF!</f>
        <v>#REF!</v>
      </c>
      <c r="AQ40" s="30" t="e">
        <f>#REF!</f>
        <v>#REF!</v>
      </c>
      <c r="AR40" s="30" t="e">
        <f>#REF!</f>
        <v>#REF!</v>
      </c>
      <c r="AS40" s="30" t="e">
        <f>#REF!</f>
        <v>#REF!</v>
      </c>
      <c r="AT40" s="30" t="e">
        <f>#REF!</f>
        <v>#REF!</v>
      </c>
      <c r="AU40" s="30" t="e">
        <f>#REF!</f>
        <v>#REF!</v>
      </c>
      <c r="AV40" s="30" t="e">
        <f>#REF!</f>
        <v>#REF!</v>
      </c>
      <c r="AW40" s="30" t="e">
        <f>#REF!</f>
        <v>#REF!</v>
      </c>
      <c r="AX40" s="30" t="e">
        <f>#REF!</f>
        <v>#REF!</v>
      </c>
      <c r="AY40" s="30" t="e">
        <f>#REF!</f>
        <v>#REF!</v>
      </c>
      <c r="AZ40" s="32">
        <f t="shared" si="17"/>
        <v>0</v>
      </c>
    </row>
    <row r="41" spans="1:52" ht="15.5">
      <c r="A41">
        <v>5</v>
      </c>
      <c r="B41" s="30" t="str">
        <f>Critères!$B41</f>
        <v>5.8</v>
      </c>
      <c r="C41" s="30" t="str">
        <f>Critères!$A34</f>
        <v>TABLEAUX</v>
      </c>
      <c r="D41" s="30" t="str">
        <f>'P01'!$D38</f>
        <v>NT</v>
      </c>
      <c r="E41" s="30" t="e">
        <f>#REF!</f>
        <v>#REF!</v>
      </c>
      <c r="F41" s="30" t="e">
        <f>#REF!</f>
        <v>#REF!</v>
      </c>
      <c r="G41" s="30" t="e">
        <f>#REF!</f>
        <v>#REF!</v>
      </c>
      <c r="H41" s="30" t="e">
        <f>#REF!</f>
        <v>#REF!</v>
      </c>
      <c r="I41" s="30" t="e">
        <f>#REF!</f>
        <v>#REF!</v>
      </c>
      <c r="J41" s="30" t="e">
        <f>#REF!</f>
        <v>#REF!</v>
      </c>
      <c r="K41" s="30" t="e">
        <f>#REF!</f>
        <v>#REF!</v>
      </c>
      <c r="L41" s="30" t="e">
        <f>#REF!</f>
        <v>#REF!</v>
      </c>
      <c r="M41" s="30" t="e">
        <f>#REF!</f>
        <v>#REF!</v>
      </c>
      <c r="N41" s="30" t="e">
        <f>#REF!</f>
        <v>#REF!</v>
      </c>
      <c r="O41" s="30" t="e">
        <f>#REF!</f>
        <v>#REF!</v>
      </c>
      <c r="P41" s="30" t="e">
        <f>#REF!</f>
        <v>#REF!</v>
      </c>
      <c r="Q41" s="30" t="e">
        <f>#REF!</f>
        <v>#REF!</v>
      </c>
      <c r="R41" s="30" t="e">
        <f>#REF!</f>
        <v>#REF!</v>
      </c>
      <c r="S41" s="30" t="e">
        <f>#REF!</f>
        <v>#REF!</v>
      </c>
      <c r="T41" s="30" t="e">
        <f>#REF!</f>
        <v>#REF!</v>
      </c>
      <c r="U41" s="30" t="e">
        <f>#REF!</f>
        <v>#REF!</v>
      </c>
      <c r="V41" s="30" t="e">
        <f>#REF!</f>
        <v>#REF!</v>
      </c>
      <c r="W41" s="30" t="e">
        <f>#REF!</f>
        <v>#REF!</v>
      </c>
      <c r="X41" s="32">
        <f t="shared" si="12"/>
        <v>0</v>
      </c>
      <c r="Y41" s="32">
        <f t="shared" si="13"/>
        <v>0</v>
      </c>
      <c r="Z41" s="32">
        <f t="shared" si="14"/>
        <v>0</v>
      </c>
      <c r="AA41" s="32">
        <f t="shared" si="15"/>
        <v>1</v>
      </c>
      <c r="AB41" t="str">
        <f t="shared" si="16"/>
        <v>NT</v>
      </c>
      <c r="AC41">
        <v>5</v>
      </c>
      <c r="AD41" s="30" t="str">
        <f>Critères!$B41</f>
        <v>5.8</v>
      </c>
      <c r="AE41" s="30" t="str">
        <f>Critères!$A34</f>
        <v>TABLEAUX</v>
      </c>
      <c r="AF41" s="30" t="str">
        <f>'P01'!$E38</f>
        <v>N</v>
      </c>
      <c r="AG41" s="30" t="e">
        <f>#REF!</f>
        <v>#REF!</v>
      </c>
      <c r="AH41" s="30" t="e">
        <f>#REF!</f>
        <v>#REF!</v>
      </c>
      <c r="AI41" s="30" t="e">
        <f>#REF!</f>
        <v>#REF!</v>
      </c>
      <c r="AJ41" s="30" t="e">
        <f>#REF!</f>
        <v>#REF!</v>
      </c>
      <c r="AK41" s="30" t="e">
        <f>#REF!</f>
        <v>#REF!</v>
      </c>
      <c r="AL41" s="30" t="e">
        <f>#REF!</f>
        <v>#REF!</v>
      </c>
      <c r="AM41" s="30" t="e">
        <f>#REF!</f>
        <v>#REF!</v>
      </c>
      <c r="AN41" s="30" t="e">
        <f>#REF!</f>
        <v>#REF!</v>
      </c>
      <c r="AO41" s="30" t="e">
        <f>#REF!</f>
        <v>#REF!</v>
      </c>
      <c r="AP41" s="30" t="e">
        <f>#REF!</f>
        <v>#REF!</v>
      </c>
      <c r="AQ41" s="30" t="e">
        <f>#REF!</f>
        <v>#REF!</v>
      </c>
      <c r="AR41" s="30" t="e">
        <f>#REF!</f>
        <v>#REF!</v>
      </c>
      <c r="AS41" s="30" t="e">
        <f>#REF!</f>
        <v>#REF!</v>
      </c>
      <c r="AT41" s="30" t="e">
        <f>#REF!</f>
        <v>#REF!</v>
      </c>
      <c r="AU41" s="30" t="e">
        <f>#REF!</f>
        <v>#REF!</v>
      </c>
      <c r="AV41" s="30" t="e">
        <f>#REF!</f>
        <v>#REF!</v>
      </c>
      <c r="AW41" s="30" t="e">
        <f>#REF!</f>
        <v>#REF!</v>
      </c>
      <c r="AX41" s="30" t="e">
        <f>#REF!</f>
        <v>#REF!</v>
      </c>
      <c r="AY41" s="30" t="e">
        <f>#REF!</f>
        <v>#REF!</v>
      </c>
      <c r="AZ41" s="32">
        <f t="shared" si="17"/>
        <v>0</v>
      </c>
    </row>
    <row r="42" spans="1:52" ht="15.5">
      <c r="A42" s="3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6">
        <f>SUM(X34:X41)</f>
        <v>0</v>
      </c>
      <c r="Y42" s="36">
        <f>SUM(Y34:Y41)</f>
        <v>0</v>
      </c>
      <c r="Z42" s="36">
        <f>SUM(Z34:Z41)</f>
        <v>0</v>
      </c>
      <c r="AA42" s="36">
        <f>SUM(AA34:AA41)</f>
        <v>8</v>
      </c>
      <c r="AC42" s="3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6">
        <f>SUM(AZ34:AZ41)</f>
        <v>0</v>
      </c>
    </row>
    <row r="43" spans="1:52" ht="15.5">
      <c r="A43">
        <v>6</v>
      </c>
      <c r="B43" s="30" t="str">
        <f>Critères!$B43</f>
        <v>6.1</v>
      </c>
      <c r="C43" s="30" t="str">
        <f>Critères!$A43</f>
        <v>LIENS</v>
      </c>
      <c r="D43" s="30" t="str">
        <f>'P01'!$D39</f>
        <v>NT</v>
      </c>
      <c r="E43" s="30" t="e">
        <f>#REF!</f>
        <v>#REF!</v>
      </c>
      <c r="F43" s="30" t="e">
        <f>#REF!</f>
        <v>#REF!</v>
      </c>
      <c r="G43" s="30" t="e">
        <f>#REF!</f>
        <v>#REF!</v>
      </c>
      <c r="H43" s="30" t="e">
        <f>#REF!</f>
        <v>#REF!</v>
      </c>
      <c r="I43" s="30" t="e">
        <f>#REF!</f>
        <v>#REF!</v>
      </c>
      <c r="J43" s="30" t="e">
        <f>#REF!</f>
        <v>#REF!</v>
      </c>
      <c r="K43" s="30" t="e">
        <f>#REF!</f>
        <v>#REF!</v>
      </c>
      <c r="L43" s="30" t="e">
        <f>#REF!</f>
        <v>#REF!</v>
      </c>
      <c r="M43" s="30" t="e">
        <f>#REF!</f>
        <v>#REF!</v>
      </c>
      <c r="N43" s="30" t="e">
        <f>#REF!</f>
        <v>#REF!</v>
      </c>
      <c r="O43" s="30" t="e">
        <f>#REF!</f>
        <v>#REF!</v>
      </c>
      <c r="P43" s="30" t="e">
        <f>#REF!</f>
        <v>#REF!</v>
      </c>
      <c r="Q43" s="30" t="e">
        <f>#REF!</f>
        <v>#REF!</v>
      </c>
      <c r="R43" s="30" t="e">
        <f>#REF!</f>
        <v>#REF!</v>
      </c>
      <c r="S43" s="30" t="e">
        <f>#REF!</f>
        <v>#REF!</v>
      </c>
      <c r="T43" s="30" t="e">
        <f>#REF!</f>
        <v>#REF!</v>
      </c>
      <c r="U43" s="30" t="e">
        <f>#REF!</f>
        <v>#REF!</v>
      </c>
      <c r="V43" s="30" t="e">
        <f>#REF!</f>
        <v>#REF!</v>
      </c>
      <c r="W43" s="30" t="e">
        <f>#REF!</f>
        <v>#REF!</v>
      </c>
      <c r="X43" s="32">
        <f>COUNTIF(D43:W43,"C")</f>
        <v>0</v>
      </c>
      <c r="Y43" s="32">
        <f>COUNTIF(D43:W43,"NC")</f>
        <v>0</v>
      </c>
      <c r="Z43" s="32">
        <f>COUNTIF(D43:W43,"NA")</f>
        <v>0</v>
      </c>
      <c r="AA43" s="32">
        <f>COUNTIF(D43:W43,"NT")</f>
        <v>1</v>
      </c>
      <c r="AB43" t="str">
        <f>IF(Y43&gt;0,"NC",IF(X43&gt;0,"C",IF(AA43&gt;0,"NT","NA")))</f>
        <v>NT</v>
      </c>
      <c r="AC43">
        <v>6</v>
      </c>
      <c r="AD43" s="30" t="str">
        <f>Critères!$B43</f>
        <v>6.1</v>
      </c>
      <c r="AE43" s="30" t="str">
        <f>Critères!$A43</f>
        <v>LIENS</v>
      </c>
      <c r="AF43" s="30" t="str">
        <f>'P01'!$E39</f>
        <v>N</v>
      </c>
      <c r="AG43" s="30" t="e">
        <f>#REF!</f>
        <v>#REF!</v>
      </c>
      <c r="AH43" s="30" t="e">
        <f>#REF!</f>
        <v>#REF!</v>
      </c>
      <c r="AI43" s="30" t="e">
        <f>#REF!</f>
        <v>#REF!</v>
      </c>
      <c r="AJ43" s="30" t="e">
        <f>#REF!</f>
        <v>#REF!</v>
      </c>
      <c r="AK43" s="30" t="e">
        <f>#REF!</f>
        <v>#REF!</v>
      </c>
      <c r="AL43" s="30" t="e">
        <f>#REF!</f>
        <v>#REF!</v>
      </c>
      <c r="AM43" s="30" t="e">
        <f>#REF!</f>
        <v>#REF!</v>
      </c>
      <c r="AN43" s="30" t="e">
        <f>#REF!</f>
        <v>#REF!</v>
      </c>
      <c r="AO43" s="30" t="e">
        <f>#REF!</f>
        <v>#REF!</v>
      </c>
      <c r="AP43" s="30" t="e">
        <f>#REF!</f>
        <v>#REF!</v>
      </c>
      <c r="AQ43" s="30" t="e">
        <f>#REF!</f>
        <v>#REF!</v>
      </c>
      <c r="AR43" s="30" t="e">
        <f>#REF!</f>
        <v>#REF!</v>
      </c>
      <c r="AS43" s="30" t="e">
        <f>#REF!</f>
        <v>#REF!</v>
      </c>
      <c r="AT43" s="30" t="e">
        <f>#REF!</f>
        <v>#REF!</v>
      </c>
      <c r="AU43" s="30" t="e">
        <f>#REF!</f>
        <v>#REF!</v>
      </c>
      <c r="AV43" s="30" t="e">
        <f>#REF!</f>
        <v>#REF!</v>
      </c>
      <c r="AW43" s="30" t="e">
        <f>#REF!</f>
        <v>#REF!</v>
      </c>
      <c r="AX43" s="30" t="e">
        <f>#REF!</f>
        <v>#REF!</v>
      </c>
      <c r="AY43" s="30" t="e">
        <f>#REF!</f>
        <v>#REF!</v>
      </c>
      <c r="AZ43" s="32">
        <f>COUNTIF(AF43:AY43,"D")</f>
        <v>0</v>
      </c>
    </row>
    <row r="44" spans="1:52" ht="15.5">
      <c r="A44">
        <v>6</v>
      </c>
      <c r="B44" s="30" t="str">
        <f>Critères!$B44</f>
        <v>6.2</v>
      </c>
      <c r="C44" s="30" t="str">
        <f>Critères!$A43</f>
        <v>LIENS</v>
      </c>
      <c r="D44" s="30" t="str">
        <f>'P01'!$D40</f>
        <v>NT</v>
      </c>
      <c r="E44" s="30" t="e">
        <f>#REF!</f>
        <v>#REF!</v>
      </c>
      <c r="F44" s="30" t="e">
        <f>#REF!</f>
        <v>#REF!</v>
      </c>
      <c r="G44" s="30" t="e">
        <f>#REF!</f>
        <v>#REF!</v>
      </c>
      <c r="H44" s="30" t="e">
        <f>#REF!</f>
        <v>#REF!</v>
      </c>
      <c r="I44" s="30" t="e">
        <f>#REF!</f>
        <v>#REF!</v>
      </c>
      <c r="J44" s="30" t="e">
        <f>#REF!</f>
        <v>#REF!</v>
      </c>
      <c r="K44" s="30" t="e">
        <f>#REF!</f>
        <v>#REF!</v>
      </c>
      <c r="L44" s="30" t="e">
        <f>#REF!</f>
        <v>#REF!</v>
      </c>
      <c r="M44" s="30" t="e">
        <f>#REF!</f>
        <v>#REF!</v>
      </c>
      <c r="N44" s="30" t="e">
        <f>#REF!</f>
        <v>#REF!</v>
      </c>
      <c r="O44" s="30" t="e">
        <f>#REF!</f>
        <v>#REF!</v>
      </c>
      <c r="P44" s="30" t="e">
        <f>#REF!</f>
        <v>#REF!</v>
      </c>
      <c r="Q44" s="30" t="e">
        <f>#REF!</f>
        <v>#REF!</v>
      </c>
      <c r="R44" s="30" t="e">
        <f>#REF!</f>
        <v>#REF!</v>
      </c>
      <c r="S44" s="30" t="e">
        <f>#REF!</f>
        <v>#REF!</v>
      </c>
      <c r="T44" s="30" t="e">
        <f>#REF!</f>
        <v>#REF!</v>
      </c>
      <c r="U44" s="30" t="e">
        <f>#REF!</f>
        <v>#REF!</v>
      </c>
      <c r="V44" s="30" t="e">
        <f>#REF!</f>
        <v>#REF!</v>
      </c>
      <c r="W44" s="30" t="e">
        <f>#REF!</f>
        <v>#REF!</v>
      </c>
      <c r="X44" s="32">
        <f>COUNTIF(D44:W44,"C")</f>
        <v>0</v>
      </c>
      <c r="Y44" s="32">
        <f>COUNTIF(D44:W44,"NC")</f>
        <v>0</v>
      </c>
      <c r="Z44" s="32">
        <f>COUNTIF(D44:W44,"NA")</f>
        <v>0</v>
      </c>
      <c r="AA44" s="32">
        <f>COUNTIF(D44:W44,"NT")</f>
        <v>1</v>
      </c>
      <c r="AB44" t="str">
        <f>IF(Y44&gt;0,"NC",IF(X44&gt;0,"C",IF(AA44&gt;0,"NT","NA")))</f>
        <v>NT</v>
      </c>
      <c r="AC44">
        <v>6</v>
      </c>
      <c r="AD44" s="30" t="str">
        <f>Critères!$B44</f>
        <v>6.2</v>
      </c>
      <c r="AE44" s="30" t="str">
        <f>Critères!$A43</f>
        <v>LIENS</v>
      </c>
      <c r="AF44" s="30" t="str">
        <f>'P01'!$E40</f>
        <v>N</v>
      </c>
      <c r="AG44" s="30" t="e">
        <f>#REF!</f>
        <v>#REF!</v>
      </c>
      <c r="AH44" s="30" t="e">
        <f>#REF!</f>
        <v>#REF!</v>
      </c>
      <c r="AI44" s="30" t="e">
        <f>#REF!</f>
        <v>#REF!</v>
      </c>
      <c r="AJ44" s="30" t="e">
        <f>#REF!</f>
        <v>#REF!</v>
      </c>
      <c r="AK44" s="30" t="e">
        <f>#REF!</f>
        <v>#REF!</v>
      </c>
      <c r="AL44" s="30" t="e">
        <f>#REF!</f>
        <v>#REF!</v>
      </c>
      <c r="AM44" s="30" t="e">
        <f>#REF!</f>
        <v>#REF!</v>
      </c>
      <c r="AN44" s="30" t="e">
        <f>#REF!</f>
        <v>#REF!</v>
      </c>
      <c r="AO44" s="30" t="e">
        <f>#REF!</f>
        <v>#REF!</v>
      </c>
      <c r="AP44" s="30" t="e">
        <f>#REF!</f>
        <v>#REF!</v>
      </c>
      <c r="AQ44" s="30" t="e">
        <f>#REF!</f>
        <v>#REF!</v>
      </c>
      <c r="AR44" s="30" t="e">
        <f>#REF!</f>
        <v>#REF!</v>
      </c>
      <c r="AS44" s="30" t="e">
        <f>#REF!</f>
        <v>#REF!</v>
      </c>
      <c r="AT44" s="30" t="e">
        <f>#REF!</f>
        <v>#REF!</v>
      </c>
      <c r="AU44" s="30" t="e">
        <f>#REF!</f>
        <v>#REF!</v>
      </c>
      <c r="AV44" s="30" t="e">
        <f>#REF!</f>
        <v>#REF!</v>
      </c>
      <c r="AW44" s="30" t="e">
        <f>#REF!</f>
        <v>#REF!</v>
      </c>
      <c r="AX44" s="30" t="e">
        <f>#REF!</f>
        <v>#REF!</v>
      </c>
      <c r="AY44" s="30" t="e">
        <f>#REF!</f>
        <v>#REF!</v>
      </c>
      <c r="AZ44" s="32">
        <f>COUNTIF(AF44:AY44,"D")</f>
        <v>0</v>
      </c>
    </row>
    <row r="45" spans="1:52" ht="15.5">
      <c r="A45" s="3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6">
        <f>SUM(X43:X44)</f>
        <v>0</v>
      </c>
      <c r="Y45" s="36">
        <f>SUM(Y43:Y44)</f>
        <v>0</v>
      </c>
      <c r="Z45" s="36">
        <f>SUM(Z43:Z44)</f>
        <v>0</v>
      </c>
      <c r="AA45" s="36">
        <f>SUM(AA43:AA44)</f>
        <v>2</v>
      </c>
      <c r="AC45" s="3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6">
        <f>SUM(AZ43:AZ44)</f>
        <v>0</v>
      </c>
    </row>
    <row r="46" spans="1:52" ht="15.5">
      <c r="A46">
        <v>7</v>
      </c>
      <c r="B46" s="30" t="str">
        <f>Critères!$B46</f>
        <v>7.1</v>
      </c>
      <c r="C46" s="30" t="str">
        <f>Critères!$A46</f>
        <v>SCRIPTS</v>
      </c>
      <c r="D46" s="30" t="str">
        <f>'P01'!$D41</f>
        <v>NT</v>
      </c>
      <c r="E46" s="30" t="e">
        <f>#REF!</f>
        <v>#REF!</v>
      </c>
      <c r="F46" s="30" t="e">
        <f>#REF!</f>
        <v>#REF!</v>
      </c>
      <c r="G46" s="30" t="e">
        <f>#REF!</f>
        <v>#REF!</v>
      </c>
      <c r="H46" s="30" t="e">
        <f>#REF!</f>
        <v>#REF!</v>
      </c>
      <c r="I46" s="30" t="e">
        <f>#REF!</f>
        <v>#REF!</v>
      </c>
      <c r="J46" s="30" t="e">
        <f>#REF!</f>
        <v>#REF!</v>
      </c>
      <c r="K46" s="30" t="e">
        <f>#REF!</f>
        <v>#REF!</v>
      </c>
      <c r="L46" s="30" t="e">
        <f>#REF!</f>
        <v>#REF!</v>
      </c>
      <c r="M46" s="30" t="e">
        <f>#REF!</f>
        <v>#REF!</v>
      </c>
      <c r="N46" s="30" t="e">
        <f>#REF!</f>
        <v>#REF!</v>
      </c>
      <c r="O46" s="30" t="e">
        <f>#REF!</f>
        <v>#REF!</v>
      </c>
      <c r="P46" s="30" t="e">
        <f>#REF!</f>
        <v>#REF!</v>
      </c>
      <c r="Q46" s="30" t="e">
        <f>#REF!</f>
        <v>#REF!</v>
      </c>
      <c r="R46" s="30" t="e">
        <f>#REF!</f>
        <v>#REF!</v>
      </c>
      <c r="S46" s="30" t="e">
        <f>#REF!</f>
        <v>#REF!</v>
      </c>
      <c r="T46" s="30" t="e">
        <f>#REF!</f>
        <v>#REF!</v>
      </c>
      <c r="U46" s="30" t="e">
        <f>#REF!</f>
        <v>#REF!</v>
      </c>
      <c r="V46" s="30" t="e">
        <f>#REF!</f>
        <v>#REF!</v>
      </c>
      <c r="W46" s="30" t="e">
        <f>#REF!</f>
        <v>#REF!</v>
      </c>
      <c r="X46" s="32">
        <f>COUNTIF(D46:W46,"C")</f>
        <v>0</v>
      </c>
      <c r="Y46" s="32">
        <f>COUNTIF(D46:W46,"NC")</f>
        <v>0</v>
      </c>
      <c r="Z46" s="32">
        <f>COUNTIF(D46:W46,"NA")</f>
        <v>0</v>
      </c>
      <c r="AA46" s="32">
        <f>COUNTIF(D46:W46,"NT")</f>
        <v>1</v>
      </c>
      <c r="AB46" t="str">
        <f>IF(Y46&gt;0,"NC",IF(X46&gt;0,"C",IF(AA46&gt;0,"NT","NA")))</f>
        <v>NT</v>
      </c>
      <c r="AC46">
        <v>7</v>
      </c>
      <c r="AD46" s="30" t="str">
        <f>Critères!$B46</f>
        <v>7.1</v>
      </c>
      <c r="AE46" s="30" t="str">
        <f>Critères!$A46</f>
        <v>SCRIPTS</v>
      </c>
      <c r="AF46" s="30" t="str">
        <f>'P01'!$E41</f>
        <v>N</v>
      </c>
      <c r="AG46" s="30" t="e">
        <f>#REF!</f>
        <v>#REF!</v>
      </c>
      <c r="AH46" s="30" t="e">
        <f>#REF!</f>
        <v>#REF!</v>
      </c>
      <c r="AI46" s="30" t="e">
        <f>#REF!</f>
        <v>#REF!</v>
      </c>
      <c r="AJ46" s="30" t="e">
        <f>#REF!</f>
        <v>#REF!</v>
      </c>
      <c r="AK46" s="30" t="e">
        <f>#REF!</f>
        <v>#REF!</v>
      </c>
      <c r="AL46" s="30" t="e">
        <f>#REF!</f>
        <v>#REF!</v>
      </c>
      <c r="AM46" s="30" t="e">
        <f>#REF!</f>
        <v>#REF!</v>
      </c>
      <c r="AN46" s="30" t="e">
        <f>#REF!</f>
        <v>#REF!</v>
      </c>
      <c r="AO46" s="30" t="e">
        <f>#REF!</f>
        <v>#REF!</v>
      </c>
      <c r="AP46" s="30" t="e">
        <f>#REF!</f>
        <v>#REF!</v>
      </c>
      <c r="AQ46" s="30" t="e">
        <f>#REF!</f>
        <v>#REF!</v>
      </c>
      <c r="AR46" s="30" t="e">
        <f>#REF!</f>
        <v>#REF!</v>
      </c>
      <c r="AS46" s="30" t="e">
        <f>#REF!</f>
        <v>#REF!</v>
      </c>
      <c r="AT46" s="30" t="e">
        <f>#REF!</f>
        <v>#REF!</v>
      </c>
      <c r="AU46" s="30" t="e">
        <f>#REF!</f>
        <v>#REF!</v>
      </c>
      <c r="AV46" s="30" t="e">
        <f>#REF!</f>
        <v>#REF!</v>
      </c>
      <c r="AW46" s="30" t="e">
        <f>#REF!</f>
        <v>#REF!</v>
      </c>
      <c r="AX46" s="30" t="e">
        <f>#REF!</f>
        <v>#REF!</v>
      </c>
      <c r="AY46" s="30" t="e">
        <f>#REF!</f>
        <v>#REF!</v>
      </c>
      <c r="AZ46" s="32">
        <f>COUNTIF(AF46:AY46,"D")</f>
        <v>0</v>
      </c>
    </row>
    <row r="47" spans="1:52" ht="15.5">
      <c r="A47">
        <v>7</v>
      </c>
      <c r="B47" s="30" t="str">
        <f>Critères!$B47</f>
        <v>7.2</v>
      </c>
      <c r="C47" s="30" t="str">
        <f>Critères!$A46</f>
        <v>SCRIPTS</v>
      </c>
      <c r="D47" s="30" t="str">
        <f>'P01'!$D42</f>
        <v>NT</v>
      </c>
      <c r="E47" s="30" t="e">
        <f>#REF!</f>
        <v>#REF!</v>
      </c>
      <c r="F47" s="30" t="e">
        <f>#REF!</f>
        <v>#REF!</v>
      </c>
      <c r="G47" s="30" t="e">
        <f>#REF!</f>
        <v>#REF!</v>
      </c>
      <c r="H47" s="30" t="e">
        <f>#REF!</f>
        <v>#REF!</v>
      </c>
      <c r="I47" s="30" t="e">
        <f>#REF!</f>
        <v>#REF!</v>
      </c>
      <c r="J47" s="30" t="e">
        <f>#REF!</f>
        <v>#REF!</v>
      </c>
      <c r="K47" s="30" t="e">
        <f>#REF!</f>
        <v>#REF!</v>
      </c>
      <c r="L47" s="30" t="e">
        <f>#REF!</f>
        <v>#REF!</v>
      </c>
      <c r="M47" s="30" t="e">
        <f>#REF!</f>
        <v>#REF!</v>
      </c>
      <c r="N47" s="30" t="e">
        <f>#REF!</f>
        <v>#REF!</v>
      </c>
      <c r="O47" s="30" t="e">
        <f>#REF!</f>
        <v>#REF!</v>
      </c>
      <c r="P47" s="30" t="e">
        <f>#REF!</f>
        <v>#REF!</v>
      </c>
      <c r="Q47" s="30" t="e">
        <f>#REF!</f>
        <v>#REF!</v>
      </c>
      <c r="R47" s="30" t="e">
        <f>#REF!</f>
        <v>#REF!</v>
      </c>
      <c r="S47" s="30" t="e">
        <f>#REF!</f>
        <v>#REF!</v>
      </c>
      <c r="T47" s="30" t="e">
        <f>#REF!</f>
        <v>#REF!</v>
      </c>
      <c r="U47" s="30" t="e">
        <f>#REF!</f>
        <v>#REF!</v>
      </c>
      <c r="V47" s="30" t="e">
        <f>#REF!</f>
        <v>#REF!</v>
      </c>
      <c r="W47" s="30" t="e">
        <f>#REF!</f>
        <v>#REF!</v>
      </c>
      <c r="X47" s="32">
        <f>COUNTIF(D47:W47,"C")</f>
        <v>0</v>
      </c>
      <c r="Y47" s="32">
        <f>COUNTIF(D47:W47,"NC")</f>
        <v>0</v>
      </c>
      <c r="Z47" s="32">
        <f>COUNTIF(D47:W47,"NA")</f>
        <v>0</v>
      </c>
      <c r="AA47" s="32">
        <f>COUNTIF(D47:W47,"NT")</f>
        <v>1</v>
      </c>
      <c r="AB47" t="str">
        <f>IF(Y47&gt;0,"NC",IF(X47&gt;0,"C",IF(AA47&gt;0,"NT","NA")))</f>
        <v>NT</v>
      </c>
      <c r="AC47">
        <v>7</v>
      </c>
      <c r="AD47" s="30" t="str">
        <f>Critères!$B47</f>
        <v>7.2</v>
      </c>
      <c r="AE47" s="30" t="str">
        <f>Critères!$A46</f>
        <v>SCRIPTS</v>
      </c>
      <c r="AF47" s="30" t="str">
        <f>'P01'!$E42</f>
        <v>N</v>
      </c>
      <c r="AG47" s="30" t="e">
        <f>#REF!</f>
        <v>#REF!</v>
      </c>
      <c r="AH47" s="30" t="e">
        <f>#REF!</f>
        <v>#REF!</v>
      </c>
      <c r="AI47" s="30" t="e">
        <f>#REF!</f>
        <v>#REF!</v>
      </c>
      <c r="AJ47" s="30" t="e">
        <f>#REF!</f>
        <v>#REF!</v>
      </c>
      <c r="AK47" s="30" t="e">
        <f>#REF!</f>
        <v>#REF!</v>
      </c>
      <c r="AL47" s="30" t="e">
        <f>#REF!</f>
        <v>#REF!</v>
      </c>
      <c r="AM47" s="30" t="e">
        <f>#REF!</f>
        <v>#REF!</v>
      </c>
      <c r="AN47" s="30" t="e">
        <f>#REF!</f>
        <v>#REF!</v>
      </c>
      <c r="AO47" s="30" t="e">
        <f>#REF!</f>
        <v>#REF!</v>
      </c>
      <c r="AP47" s="30" t="e">
        <f>#REF!</f>
        <v>#REF!</v>
      </c>
      <c r="AQ47" s="30" t="e">
        <f>#REF!</f>
        <v>#REF!</v>
      </c>
      <c r="AR47" s="30" t="e">
        <f>#REF!</f>
        <v>#REF!</v>
      </c>
      <c r="AS47" s="30" t="e">
        <f>#REF!</f>
        <v>#REF!</v>
      </c>
      <c r="AT47" s="30" t="e">
        <f>#REF!</f>
        <v>#REF!</v>
      </c>
      <c r="AU47" s="30" t="e">
        <f>#REF!</f>
        <v>#REF!</v>
      </c>
      <c r="AV47" s="30" t="e">
        <f>#REF!</f>
        <v>#REF!</v>
      </c>
      <c r="AW47" s="30" t="e">
        <f>#REF!</f>
        <v>#REF!</v>
      </c>
      <c r="AX47" s="30" t="e">
        <f>#REF!</f>
        <v>#REF!</v>
      </c>
      <c r="AY47" s="30" t="e">
        <f>#REF!</f>
        <v>#REF!</v>
      </c>
      <c r="AZ47" s="32">
        <f>COUNTIF(AF47:AY47,"D")</f>
        <v>0</v>
      </c>
    </row>
    <row r="48" spans="1:52" ht="15.5">
      <c r="A48">
        <v>7</v>
      </c>
      <c r="B48" s="30" t="str">
        <f>Critères!$B48</f>
        <v>7.3</v>
      </c>
      <c r="C48" s="30" t="str">
        <f>Critères!$A46</f>
        <v>SCRIPTS</v>
      </c>
      <c r="D48" s="30" t="str">
        <f>'P01'!$D43</f>
        <v>NT</v>
      </c>
      <c r="E48" s="30" t="e">
        <f>#REF!</f>
        <v>#REF!</v>
      </c>
      <c r="F48" s="30" t="e">
        <f>#REF!</f>
        <v>#REF!</v>
      </c>
      <c r="G48" s="30" t="e">
        <f>#REF!</f>
        <v>#REF!</v>
      </c>
      <c r="H48" s="30" t="e">
        <f>#REF!</f>
        <v>#REF!</v>
      </c>
      <c r="I48" s="30" t="e">
        <f>#REF!</f>
        <v>#REF!</v>
      </c>
      <c r="J48" s="30" t="e">
        <f>#REF!</f>
        <v>#REF!</v>
      </c>
      <c r="K48" s="30" t="e">
        <f>#REF!</f>
        <v>#REF!</v>
      </c>
      <c r="L48" s="30" t="e">
        <f>#REF!</f>
        <v>#REF!</v>
      </c>
      <c r="M48" s="30" t="e">
        <f>#REF!</f>
        <v>#REF!</v>
      </c>
      <c r="N48" s="30" t="e">
        <f>#REF!</f>
        <v>#REF!</v>
      </c>
      <c r="O48" s="30" t="e">
        <f>#REF!</f>
        <v>#REF!</v>
      </c>
      <c r="P48" s="30" t="e">
        <f>#REF!</f>
        <v>#REF!</v>
      </c>
      <c r="Q48" s="30" t="e">
        <f>#REF!</f>
        <v>#REF!</v>
      </c>
      <c r="R48" s="30" t="e">
        <f>#REF!</f>
        <v>#REF!</v>
      </c>
      <c r="S48" s="30" t="e">
        <f>#REF!</f>
        <v>#REF!</v>
      </c>
      <c r="T48" s="30" t="e">
        <f>#REF!</f>
        <v>#REF!</v>
      </c>
      <c r="U48" s="30" t="e">
        <f>#REF!</f>
        <v>#REF!</v>
      </c>
      <c r="V48" s="30" t="e">
        <f>#REF!</f>
        <v>#REF!</v>
      </c>
      <c r="W48" s="30" t="e">
        <f>#REF!</f>
        <v>#REF!</v>
      </c>
      <c r="X48" s="32">
        <f>COUNTIF(D48:W48,"C")</f>
        <v>0</v>
      </c>
      <c r="Y48" s="32">
        <f>COUNTIF(D48:W48,"NC")</f>
        <v>0</v>
      </c>
      <c r="Z48" s="32">
        <f>COUNTIF(D48:W48,"NA")</f>
        <v>0</v>
      </c>
      <c r="AA48" s="32">
        <f>COUNTIF(D48:W48,"NT")</f>
        <v>1</v>
      </c>
      <c r="AB48" t="str">
        <f>IF(Y48&gt;0,"NC",IF(X48&gt;0,"C",IF(AA48&gt;0,"NT","NA")))</f>
        <v>NT</v>
      </c>
      <c r="AC48">
        <v>7</v>
      </c>
      <c r="AD48" s="30" t="str">
        <f>Critères!$B48</f>
        <v>7.3</v>
      </c>
      <c r="AE48" s="30" t="str">
        <f>Critères!$A46</f>
        <v>SCRIPTS</v>
      </c>
      <c r="AF48" s="30" t="str">
        <f>'P01'!$E43</f>
        <v>N</v>
      </c>
      <c r="AG48" s="30" t="e">
        <f>#REF!</f>
        <v>#REF!</v>
      </c>
      <c r="AH48" s="30" t="e">
        <f>#REF!</f>
        <v>#REF!</v>
      </c>
      <c r="AI48" s="30" t="e">
        <f>#REF!</f>
        <v>#REF!</v>
      </c>
      <c r="AJ48" s="30" t="e">
        <f>#REF!</f>
        <v>#REF!</v>
      </c>
      <c r="AK48" s="30" t="e">
        <f>#REF!</f>
        <v>#REF!</v>
      </c>
      <c r="AL48" s="30" t="e">
        <f>#REF!</f>
        <v>#REF!</v>
      </c>
      <c r="AM48" s="30" t="e">
        <f>#REF!</f>
        <v>#REF!</v>
      </c>
      <c r="AN48" s="30" t="e">
        <f>#REF!</f>
        <v>#REF!</v>
      </c>
      <c r="AO48" s="30" t="e">
        <f>#REF!</f>
        <v>#REF!</v>
      </c>
      <c r="AP48" s="30" t="e">
        <f>#REF!</f>
        <v>#REF!</v>
      </c>
      <c r="AQ48" s="30" t="e">
        <f>#REF!</f>
        <v>#REF!</v>
      </c>
      <c r="AR48" s="30" t="e">
        <f>#REF!</f>
        <v>#REF!</v>
      </c>
      <c r="AS48" s="30" t="e">
        <f>#REF!</f>
        <v>#REF!</v>
      </c>
      <c r="AT48" s="30" t="e">
        <f>#REF!</f>
        <v>#REF!</v>
      </c>
      <c r="AU48" s="30" t="e">
        <f>#REF!</f>
        <v>#REF!</v>
      </c>
      <c r="AV48" s="30" t="e">
        <f>#REF!</f>
        <v>#REF!</v>
      </c>
      <c r="AW48" s="30" t="e">
        <f>#REF!</f>
        <v>#REF!</v>
      </c>
      <c r="AX48" s="30" t="e">
        <f>#REF!</f>
        <v>#REF!</v>
      </c>
      <c r="AY48" s="30" t="e">
        <f>#REF!</f>
        <v>#REF!</v>
      </c>
      <c r="AZ48" s="32">
        <f>COUNTIF(AF48:AY48,"D")</f>
        <v>0</v>
      </c>
    </row>
    <row r="49" spans="1:52" ht="15.5">
      <c r="A49">
        <v>7</v>
      </c>
      <c r="B49" s="30" t="str">
        <f>Critères!$B49</f>
        <v>7.4</v>
      </c>
      <c r="C49" s="30" t="str">
        <f>Critères!$A46</f>
        <v>SCRIPTS</v>
      </c>
      <c r="D49" s="30" t="str">
        <f>'P01'!$D44</f>
        <v>NT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  <c r="N49" s="30" t="e">
        <f>#REF!</f>
        <v>#REF!</v>
      </c>
      <c r="O49" s="30" t="e">
        <f>#REF!</f>
        <v>#REF!</v>
      </c>
      <c r="P49" s="30" t="e">
        <f>#REF!</f>
        <v>#REF!</v>
      </c>
      <c r="Q49" s="30" t="e">
        <f>#REF!</f>
        <v>#REF!</v>
      </c>
      <c r="R49" s="30" t="e">
        <f>#REF!</f>
        <v>#REF!</v>
      </c>
      <c r="S49" s="30" t="e">
        <f>#REF!</f>
        <v>#REF!</v>
      </c>
      <c r="T49" s="30" t="e">
        <f>#REF!</f>
        <v>#REF!</v>
      </c>
      <c r="U49" s="30" t="e">
        <f>#REF!</f>
        <v>#REF!</v>
      </c>
      <c r="V49" s="30" t="e">
        <f>#REF!</f>
        <v>#REF!</v>
      </c>
      <c r="W49" s="30" t="e">
        <f>#REF!</f>
        <v>#REF!</v>
      </c>
      <c r="X49" s="32">
        <f>COUNTIF(D49:W49,"C")</f>
        <v>0</v>
      </c>
      <c r="Y49" s="32">
        <f>COUNTIF(D49:W49,"NC")</f>
        <v>0</v>
      </c>
      <c r="Z49" s="32">
        <f>COUNTIF(D49:W49,"NA")</f>
        <v>0</v>
      </c>
      <c r="AA49" s="32">
        <f>COUNTIF(D49:W49,"NT")</f>
        <v>1</v>
      </c>
      <c r="AB49" t="str">
        <f>IF(Y49&gt;0,"NC",IF(X49&gt;0,"C",IF(AA49&gt;0,"NT","NA")))</f>
        <v>NT</v>
      </c>
      <c r="AC49">
        <v>7</v>
      </c>
      <c r="AD49" s="30" t="str">
        <f>Critères!$B49</f>
        <v>7.4</v>
      </c>
      <c r="AE49" s="30" t="str">
        <f>Critères!$A46</f>
        <v>SCRIPTS</v>
      </c>
      <c r="AF49" s="30" t="str">
        <f>'P01'!$E44</f>
        <v>N</v>
      </c>
      <c r="AG49" s="30" t="e">
        <f>#REF!</f>
        <v>#REF!</v>
      </c>
      <c r="AH49" s="30" t="e">
        <f>#REF!</f>
        <v>#REF!</v>
      </c>
      <c r="AI49" s="30" t="e">
        <f>#REF!</f>
        <v>#REF!</v>
      </c>
      <c r="AJ49" s="30" t="e">
        <f>#REF!</f>
        <v>#REF!</v>
      </c>
      <c r="AK49" s="30" t="e">
        <f>#REF!</f>
        <v>#REF!</v>
      </c>
      <c r="AL49" s="30" t="e">
        <f>#REF!</f>
        <v>#REF!</v>
      </c>
      <c r="AM49" s="30" t="e">
        <f>#REF!</f>
        <v>#REF!</v>
      </c>
      <c r="AN49" s="30" t="e">
        <f>#REF!</f>
        <v>#REF!</v>
      </c>
      <c r="AO49" s="30" t="e">
        <f>#REF!</f>
        <v>#REF!</v>
      </c>
      <c r="AP49" s="30" t="e">
        <f>#REF!</f>
        <v>#REF!</v>
      </c>
      <c r="AQ49" s="30" t="e">
        <f>#REF!</f>
        <v>#REF!</v>
      </c>
      <c r="AR49" s="30" t="e">
        <f>#REF!</f>
        <v>#REF!</v>
      </c>
      <c r="AS49" s="30" t="e">
        <f>#REF!</f>
        <v>#REF!</v>
      </c>
      <c r="AT49" s="30" t="e">
        <f>#REF!</f>
        <v>#REF!</v>
      </c>
      <c r="AU49" s="30" t="e">
        <f>#REF!</f>
        <v>#REF!</v>
      </c>
      <c r="AV49" s="30" t="e">
        <f>#REF!</f>
        <v>#REF!</v>
      </c>
      <c r="AW49" s="30" t="e">
        <f>#REF!</f>
        <v>#REF!</v>
      </c>
      <c r="AX49" s="30" t="e">
        <f>#REF!</f>
        <v>#REF!</v>
      </c>
      <c r="AY49" s="30" t="e">
        <f>#REF!</f>
        <v>#REF!</v>
      </c>
      <c r="AZ49" s="32">
        <f>COUNTIF(AF49:AY49,"D")</f>
        <v>0</v>
      </c>
    </row>
    <row r="50" spans="1:52" ht="15.5">
      <c r="A50">
        <v>7</v>
      </c>
      <c r="B50" s="30" t="str">
        <f>Critères!$B50</f>
        <v>7.5</v>
      </c>
      <c r="C50" s="30" t="str">
        <f>Critères!$A46</f>
        <v>SCRIPTS</v>
      </c>
      <c r="D50" s="30" t="str">
        <f>'P01'!$D45</f>
        <v>NT</v>
      </c>
      <c r="E50" s="30" t="e">
        <f>#REF!</f>
        <v>#REF!</v>
      </c>
      <c r="F50" s="30" t="e">
        <f>#REF!</f>
        <v>#REF!</v>
      </c>
      <c r="G50" s="30" t="e">
        <f>#REF!</f>
        <v>#REF!</v>
      </c>
      <c r="H50" s="30" t="e">
        <f>#REF!</f>
        <v>#REF!</v>
      </c>
      <c r="I50" s="30" t="e">
        <f>#REF!</f>
        <v>#REF!</v>
      </c>
      <c r="J50" s="30" t="e">
        <f>#REF!</f>
        <v>#REF!</v>
      </c>
      <c r="K50" s="30" t="e">
        <f>#REF!</f>
        <v>#REF!</v>
      </c>
      <c r="L50" s="30" t="e">
        <f>#REF!</f>
        <v>#REF!</v>
      </c>
      <c r="M50" s="30" t="e">
        <f>#REF!</f>
        <v>#REF!</v>
      </c>
      <c r="N50" s="30" t="e">
        <f>#REF!</f>
        <v>#REF!</v>
      </c>
      <c r="O50" s="30" t="e">
        <f>#REF!</f>
        <v>#REF!</v>
      </c>
      <c r="P50" s="30" t="e">
        <f>#REF!</f>
        <v>#REF!</v>
      </c>
      <c r="Q50" s="30" t="e">
        <f>#REF!</f>
        <v>#REF!</v>
      </c>
      <c r="R50" s="30" t="e">
        <f>#REF!</f>
        <v>#REF!</v>
      </c>
      <c r="S50" s="30" t="e">
        <f>#REF!</f>
        <v>#REF!</v>
      </c>
      <c r="T50" s="30" t="e">
        <f>#REF!</f>
        <v>#REF!</v>
      </c>
      <c r="U50" s="30" t="e">
        <f>#REF!</f>
        <v>#REF!</v>
      </c>
      <c r="V50" s="30" t="e">
        <f>#REF!</f>
        <v>#REF!</v>
      </c>
      <c r="W50" s="30" t="e">
        <f>#REF!</f>
        <v>#REF!</v>
      </c>
      <c r="X50" s="32">
        <f>COUNTIF(D50:W50,"C")</f>
        <v>0</v>
      </c>
      <c r="Y50" s="32">
        <f>COUNTIF(D50:W50,"NC")</f>
        <v>0</v>
      </c>
      <c r="Z50" s="32">
        <f>COUNTIF(D50:W50,"NA")</f>
        <v>0</v>
      </c>
      <c r="AA50" s="32">
        <f>COUNTIF(D50:W50,"NT")</f>
        <v>1</v>
      </c>
      <c r="AB50" t="str">
        <f>IF(Y50&gt;0,"NC",IF(X50&gt;0,"C",IF(AA50&gt;0,"NT","NA")))</f>
        <v>NT</v>
      </c>
      <c r="AC50">
        <v>7</v>
      </c>
      <c r="AD50" s="30" t="str">
        <f>Critères!$B50</f>
        <v>7.5</v>
      </c>
      <c r="AE50" s="30" t="str">
        <f>Critères!$A46</f>
        <v>SCRIPTS</v>
      </c>
      <c r="AF50" s="30" t="str">
        <f>'P01'!$E45</f>
        <v>N</v>
      </c>
      <c r="AG50" s="30" t="e">
        <f>#REF!</f>
        <v>#REF!</v>
      </c>
      <c r="AH50" s="30" t="e">
        <f>#REF!</f>
        <v>#REF!</v>
      </c>
      <c r="AI50" s="30" t="e">
        <f>#REF!</f>
        <v>#REF!</v>
      </c>
      <c r="AJ50" s="30" t="e">
        <f>#REF!</f>
        <v>#REF!</v>
      </c>
      <c r="AK50" s="30" t="e">
        <f>#REF!</f>
        <v>#REF!</v>
      </c>
      <c r="AL50" s="30" t="e">
        <f>#REF!</f>
        <v>#REF!</v>
      </c>
      <c r="AM50" s="30" t="e">
        <f>#REF!</f>
        <v>#REF!</v>
      </c>
      <c r="AN50" s="30" t="e">
        <f>#REF!</f>
        <v>#REF!</v>
      </c>
      <c r="AO50" s="30" t="e">
        <f>#REF!</f>
        <v>#REF!</v>
      </c>
      <c r="AP50" s="30" t="e">
        <f>#REF!</f>
        <v>#REF!</v>
      </c>
      <c r="AQ50" s="30" t="e">
        <f>#REF!</f>
        <v>#REF!</v>
      </c>
      <c r="AR50" s="30" t="e">
        <f>#REF!</f>
        <v>#REF!</v>
      </c>
      <c r="AS50" s="30" t="e">
        <f>#REF!</f>
        <v>#REF!</v>
      </c>
      <c r="AT50" s="30" t="e">
        <f>#REF!</f>
        <v>#REF!</v>
      </c>
      <c r="AU50" s="30" t="e">
        <f>#REF!</f>
        <v>#REF!</v>
      </c>
      <c r="AV50" s="30" t="e">
        <f>#REF!</f>
        <v>#REF!</v>
      </c>
      <c r="AW50" s="30" t="e">
        <f>#REF!</f>
        <v>#REF!</v>
      </c>
      <c r="AX50" s="30" t="e">
        <f>#REF!</f>
        <v>#REF!</v>
      </c>
      <c r="AY50" s="30" t="e">
        <f>#REF!</f>
        <v>#REF!</v>
      </c>
      <c r="AZ50" s="32">
        <f>COUNTIF(AF50:AY50,"D")</f>
        <v>0</v>
      </c>
    </row>
    <row r="51" spans="1:52" ht="15.5">
      <c r="A51" s="3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7">
        <f>SUM(X46:X50)</f>
        <v>0</v>
      </c>
      <c r="Y51" s="37">
        <f>SUM(Y46:Y50)</f>
        <v>0</v>
      </c>
      <c r="Z51" s="37">
        <f>SUM(Z46:Z50)</f>
        <v>0</v>
      </c>
      <c r="AA51" s="37">
        <f>SUM(AA46:AA50)</f>
        <v>5</v>
      </c>
      <c r="AC51" s="3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7">
        <f>SUM(AZ46:AZ50)</f>
        <v>0</v>
      </c>
    </row>
    <row r="52" spans="1:52" ht="15.5">
      <c r="A52">
        <v>8</v>
      </c>
      <c r="B52" s="30" t="str">
        <f>Critères!$B52</f>
        <v>8.1</v>
      </c>
      <c r="C52" s="30" t="str">
        <f>Critères!$A52</f>
        <v>ÉLÉMENTS OBLIGATOIRES</v>
      </c>
      <c r="D52" s="30" t="str">
        <f>'P01'!$D46</f>
        <v>NT</v>
      </c>
      <c r="E52" s="30" t="e">
        <f>#REF!</f>
        <v>#REF!</v>
      </c>
      <c r="F52" s="30" t="e">
        <f>#REF!</f>
        <v>#REF!</v>
      </c>
      <c r="G52" s="30" t="e">
        <f>#REF!</f>
        <v>#REF!</v>
      </c>
      <c r="H52" s="30" t="e">
        <f>#REF!</f>
        <v>#REF!</v>
      </c>
      <c r="I52" s="30" t="e">
        <f>#REF!</f>
        <v>#REF!</v>
      </c>
      <c r="J52" s="30" t="e">
        <f>#REF!</f>
        <v>#REF!</v>
      </c>
      <c r="K52" s="30" t="e">
        <f>#REF!</f>
        <v>#REF!</v>
      </c>
      <c r="L52" s="30" t="e">
        <f>#REF!</f>
        <v>#REF!</v>
      </c>
      <c r="M52" s="30" t="e">
        <f>#REF!</f>
        <v>#REF!</v>
      </c>
      <c r="N52" s="30" t="e">
        <f>#REF!</f>
        <v>#REF!</v>
      </c>
      <c r="O52" s="30" t="e">
        <f>#REF!</f>
        <v>#REF!</v>
      </c>
      <c r="P52" s="30" t="e">
        <f>#REF!</f>
        <v>#REF!</v>
      </c>
      <c r="Q52" s="30" t="e">
        <f>#REF!</f>
        <v>#REF!</v>
      </c>
      <c r="R52" s="30" t="e">
        <f>#REF!</f>
        <v>#REF!</v>
      </c>
      <c r="S52" s="30" t="e">
        <f>#REF!</f>
        <v>#REF!</v>
      </c>
      <c r="T52" s="30" t="e">
        <f>#REF!</f>
        <v>#REF!</v>
      </c>
      <c r="U52" s="30" t="e">
        <f>#REF!</f>
        <v>#REF!</v>
      </c>
      <c r="V52" s="30" t="e">
        <f>#REF!</f>
        <v>#REF!</v>
      </c>
      <c r="W52" s="30" t="e">
        <f>#REF!</f>
        <v>#REF!</v>
      </c>
      <c r="X52" s="32">
        <f t="shared" ref="X52:X61" si="18">COUNTIF(D52:W52,"C")</f>
        <v>0</v>
      </c>
      <c r="Y52" s="32">
        <f t="shared" ref="Y52:Y61" si="19">COUNTIF(D52:W52,"NC")</f>
        <v>0</v>
      </c>
      <c r="Z52" s="32">
        <f t="shared" ref="Z52:Z61" si="20">COUNTIF(D52:W52,"NA")</f>
        <v>0</v>
      </c>
      <c r="AA52" s="32">
        <f t="shared" ref="AA52:AA61" si="21">COUNTIF(D52:W52,"NT")</f>
        <v>1</v>
      </c>
      <c r="AB52" t="str">
        <f t="shared" ref="AB52:AB61" si="22">IF(Y52&gt;0,"NC",IF(X52&gt;0,"C",IF(AA52&gt;0,"NT","NA")))</f>
        <v>NT</v>
      </c>
      <c r="AC52">
        <v>8</v>
      </c>
      <c r="AD52" s="30" t="str">
        <f>Critères!$B52</f>
        <v>8.1</v>
      </c>
      <c r="AE52" s="30" t="str">
        <f>Critères!$A52</f>
        <v>ÉLÉMENTS OBLIGATOIRES</v>
      </c>
      <c r="AF52" s="30" t="str">
        <f>'P01'!$E46</f>
        <v>N</v>
      </c>
      <c r="AG52" s="30" t="e">
        <f>#REF!</f>
        <v>#REF!</v>
      </c>
      <c r="AH52" s="30" t="e">
        <f>#REF!</f>
        <v>#REF!</v>
      </c>
      <c r="AI52" s="30" t="e">
        <f>#REF!</f>
        <v>#REF!</v>
      </c>
      <c r="AJ52" s="30" t="e">
        <f>#REF!</f>
        <v>#REF!</v>
      </c>
      <c r="AK52" s="30" t="e">
        <f>#REF!</f>
        <v>#REF!</v>
      </c>
      <c r="AL52" s="30" t="e">
        <f>#REF!</f>
        <v>#REF!</v>
      </c>
      <c r="AM52" s="30" t="e">
        <f>#REF!</f>
        <v>#REF!</v>
      </c>
      <c r="AN52" s="30" t="e">
        <f>#REF!</f>
        <v>#REF!</v>
      </c>
      <c r="AO52" s="30" t="e">
        <f>#REF!</f>
        <v>#REF!</v>
      </c>
      <c r="AP52" s="30" t="e">
        <f>#REF!</f>
        <v>#REF!</v>
      </c>
      <c r="AQ52" s="30" t="e">
        <f>#REF!</f>
        <v>#REF!</v>
      </c>
      <c r="AR52" s="30" t="e">
        <f>#REF!</f>
        <v>#REF!</v>
      </c>
      <c r="AS52" s="30" t="e">
        <f>#REF!</f>
        <v>#REF!</v>
      </c>
      <c r="AT52" s="30" t="e">
        <f>#REF!</f>
        <v>#REF!</v>
      </c>
      <c r="AU52" s="30" t="e">
        <f>#REF!</f>
        <v>#REF!</v>
      </c>
      <c r="AV52" s="30" t="e">
        <f>#REF!</f>
        <v>#REF!</v>
      </c>
      <c r="AW52" s="30" t="e">
        <f>#REF!</f>
        <v>#REF!</v>
      </c>
      <c r="AX52" s="30" t="e">
        <f>#REF!</f>
        <v>#REF!</v>
      </c>
      <c r="AY52" s="30" t="e">
        <f>#REF!</f>
        <v>#REF!</v>
      </c>
      <c r="AZ52" s="32">
        <f t="shared" ref="AZ52:AZ61" si="23">COUNTIF(AF52:AY52,"D")</f>
        <v>0</v>
      </c>
    </row>
    <row r="53" spans="1:52" ht="15.5">
      <c r="A53">
        <v>8</v>
      </c>
      <c r="B53" s="30" t="str">
        <f>Critères!$B53</f>
        <v>8.2</v>
      </c>
      <c r="C53" s="30" t="str">
        <f>Critères!$A52</f>
        <v>ÉLÉMENTS OBLIGATOIRES</v>
      </c>
      <c r="D53" s="30" t="str">
        <f>'P01'!$D47</f>
        <v>NT</v>
      </c>
      <c r="E53" s="30" t="e">
        <f>#REF!</f>
        <v>#REF!</v>
      </c>
      <c r="F53" s="30" t="e">
        <f>#REF!</f>
        <v>#REF!</v>
      </c>
      <c r="G53" s="30" t="e">
        <f>#REF!</f>
        <v>#REF!</v>
      </c>
      <c r="H53" s="30" t="e">
        <f>#REF!</f>
        <v>#REF!</v>
      </c>
      <c r="I53" s="30" t="e">
        <f>#REF!</f>
        <v>#REF!</v>
      </c>
      <c r="J53" s="30" t="e">
        <f>#REF!</f>
        <v>#REF!</v>
      </c>
      <c r="K53" s="30" t="e">
        <f>#REF!</f>
        <v>#REF!</v>
      </c>
      <c r="L53" s="30" t="e">
        <f>#REF!</f>
        <v>#REF!</v>
      </c>
      <c r="M53" s="30" t="e">
        <f>#REF!</f>
        <v>#REF!</v>
      </c>
      <c r="N53" s="30" t="e">
        <f>#REF!</f>
        <v>#REF!</v>
      </c>
      <c r="O53" s="30" t="e">
        <f>#REF!</f>
        <v>#REF!</v>
      </c>
      <c r="P53" s="30" t="e">
        <f>#REF!</f>
        <v>#REF!</v>
      </c>
      <c r="Q53" s="30" t="e">
        <f>#REF!</f>
        <v>#REF!</v>
      </c>
      <c r="R53" s="30" t="e">
        <f>#REF!</f>
        <v>#REF!</v>
      </c>
      <c r="S53" s="30" t="e">
        <f>#REF!</f>
        <v>#REF!</v>
      </c>
      <c r="T53" s="30" t="e">
        <f>#REF!</f>
        <v>#REF!</v>
      </c>
      <c r="U53" s="30" t="e">
        <f>#REF!</f>
        <v>#REF!</v>
      </c>
      <c r="V53" s="30" t="e">
        <f>#REF!</f>
        <v>#REF!</v>
      </c>
      <c r="W53" s="30" t="e">
        <f>#REF!</f>
        <v>#REF!</v>
      </c>
      <c r="X53" s="32">
        <f t="shared" si="18"/>
        <v>0</v>
      </c>
      <c r="Y53" s="32">
        <f t="shared" si="19"/>
        <v>0</v>
      </c>
      <c r="Z53" s="32">
        <f t="shared" si="20"/>
        <v>0</v>
      </c>
      <c r="AA53" s="32">
        <f t="shared" si="21"/>
        <v>1</v>
      </c>
      <c r="AB53" t="str">
        <f t="shared" si="22"/>
        <v>NT</v>
      </c>
      <c r="AC53">
        <v>8</v>
      </c>
      <c r="AD53" s="30" t="str">
        <f>Critères!$B53</f>
        <v>8.2</v>
      </c>
      <c r="AE53" s="30" t="str">
        <f>Critères!$A52</f>
        <v>ÉLÉMENTS OBLIGATOIRES</v>
      </c>
      <c r="AF53" s="30" t="str">
        <f>'P01'!$E47</f>
        <v>N</v>
      </c>
      <c r="AG53" s="30" t="e">
        <f>#REF!</f>
        <v>#REF!</v>
      </c>
      <c r="AH53" s="30" t="e">
        <f>#REF!</f>
        <v>#REF!</v>
      </c>
      <c r="AI53" s="30" t="e">
        <f>#REF!</f>
        <v>#REF!</v>
      </c>
      <c r="AJ53" s="30" t="e">
        <f>#REF!</f>
        <v>#REF!</v>
      </c>
      <c r="AK53" s="30" t="e">
        <f>#REF!</f>
        <v>#REF!</v>
      </c>
      <c r="AL53" s="30" t="e">
        <f>#REF!</f>
        <v>#REF!</v>
      </c>
      <c r="AM53" s="30" t="e">
        <f>#REF!</f>
        <v>#REF!</v>
      </c>
      <c r="AN53" s="30" t="e">
        <f>#REF!</f>
        <v>#REF!</v>
      </c>
      <c r="AO53" s="30" t="e">
        <f>#REF!</f>
        <v>#REF!</v>
      </c>
      <c r="AP53" s="30" t="e">
        <f>#REF!</f>
        <v>#REF!</v>
      </c>
      <c r="AQ53" s="30" t="e">
        <f>#REF!</f>
        <v>#REF!</v>
      </c>
      <c r="AR53" s="30" t="e">
        <f>#REF!</f>
        <v>#REF!</v>
      </c>
      <c r="AS53" s="30" t="e">
        <f>#REF!</f>
        <v>#REF!</v>
      </c>
      <c r="AT53" s="30" t="e">
        <f>#REF!</f>
        <v>#REF!</v>
      </c>
      <c r="AU53" s="30" t="e">
        <f>#REF!</f>
        <v>#REF!</v>
      </c>
      <c r="AV53" s="30" t="e">
        <f>#REF!</f>
        <v>#REF!</v>
      </c>
      <c r="AW53" s="30" t="e">
        <f>#REF!</f>
        <v>#REF!</v>
      </c>
      <c r="AX53" s="30" t="e">
        <f>#REF!</f>
        <v>#REF!</v>
      </c>
      <c r="AY53" s="30" t="e">
        <f>#REF!</f>
        <v>#REF!</v>
      </c>
      <c r="AZ53" s="32">
        <f t="shared" si="23"/>
        <v>0</v>
      </c>
    </row>
    <row r="54" spans="1:52" ht="15.5">
      <c r="A54">
        <v>8</v>
      </c>
      <c r="B54" s="30" t="str">
        <f>Critères!$B54</f>
        <v>8.3</v>
      </c>
      <c r="C54" s="30" t="str">
        <f>Critères!$A52</f>
        <v>ÉLÉMENTS OBLIGATOIRES</v>
      </c>
      <c r="D54" s="30" t="str">
        <f>'P01'!$D48</f>
        <v>NT</v>
      </c>
      <c r="E54" s="30" t="e">
        <f>#REF!</f>
        <v>#REF!</v>
      </c>
      <c r="F54" s="30" t="e">
        <f>#REF!</f>
        <v>#REF!</v>
      </c>
      <c r="G54" s="30" t="e">
        <f>#REF!</f>
        <v>#REF!</v>
      </c>
      <c r="H54" s="30" t="e">
        <f>#REF!</f>
        <v>#REF!</v>
      </c>
      <c r="I54" s="30" t="e">
        <f>#REF!</f>
        <v>#REF!</v>
      </c>
      <c r="J54" s="30" t="e">
        <f>#REF!</f>
        <v>#REF!</v>
      </c>
      <c r="K54" s="30" t="e">
        <f>#REF!</f>
        <v>#REF!</v>
      </c>
      <c r="L54" s="30" t="e">
        <f>#REF!</f>
        <v>#REF!</v>
      </c>
      <c r="M54" s="30" t="e">
        <f>#REF!</f>
        <v>#REF!</v>
      </c>
      <c r="N54" s="30" t="e">
        <f>#REF!</f>
        <v>#REF!</v>
      </c>
      <c r="O54" s="30" t="e">
        <f>#REF!</f>
        <v>#REF!</v>
      </c>
      <c r="P54" s="30" t="e">
        <f>#REF!</f>
        <v>#REF!</v>
      </c>
      <c r="Q54" s="30" t="e">
        <f>#REF!</f>
        <v>#REF!</v>
      </c>
      <c r="R54" s="30" t="e">
        <f>#REF!</f>
        <v>#REF!</v>
      </c>
      <c r="S54" s="30" t="e">
        <f>#REF!</f>
        <v>#REF!</v>
      </c>
      <c r="T54" s="30" t="e">
        <f>#REF!</f>
        <v>#REF!</v>
      </c>
      <c r="U54" s="30" t="e">
        <f>#REF!</f>
        <v>#REF!</v>
      </c>
      <c r="V54" s="30" t="e">
        <f>#REF!</f>
        <v>#REF!</v>
      </c>
      <c r="W54" s="30" t="e">
        <f>#REF!</f>
        <v>#REF!</v>
      </c>
      <c r="X54" s="32">
        <f t="shared" si="18"/>
        <v>0</v>
      </c>
      <c r="Y54" s="32">
        <f t="shared" si="19"/>
        <v>0</v>
      </c>
      <c r="Z54" s="32">
        <f t="shared" si="20"/>
        <v>0</v>
      </c>
      <c r="AA54" s="32">
        <f t="shared" si="21"/>
        <v>1</v>
      </c>
      <c r="AB54" t="str">
        <f t="shared" si="22"/>
        <v>NT</v>
      </c>
      <c r="AC54">
        <v>8</v>
      </c>
      <c r="AD54" s="30" t="str">
        <f>Critères!$B54</f>
        <v>8.3</v>
      </c>
      <c r="AE54" s="30" t="str">
        <f>Critères!$A52</f>
        <v>ÉLÉMENTS OBLIGATOIRES</v>
      </c>
      <c r="AF54" s="30" t="str">
        <f>'P01'!$E48</f>
        <v>N</v>
      </c>
      <c r="AG54" s="30" t="e">
        <f>#REF!</f>
        <v>#REF!</v>
      </c>
      <c r="AH54" s="30" t="e">
        <f>#REF!</f>
        <v>#REF!</v>
      </c>
      <c r="AI54" s="30" t="e">
        <f>#REF!</f>
        <v>#REF!</v>
      </c>
      <c r="AJ54" s="30" t="e">
        <f>#REF!</f>
        <v>#REF!</v>
      </c>
      <c r="AK54" s="30" t="e">
        <f>#REF!</f>
        <v>#REF!</v>
      </c>
      <c r="AL54" s="30" t="e">
        <f>#REF!</f>
        <v>#REF!</v>
      </c>
      <c r="AM54" s="30" t="e">
        <f>#REF!</f>
        <v>#REF!</v>
      </c>
      <c r="AN54" s="30" t="e">
        <f>#REF!</f>
        <v>#REF!</v>
      </c>
      <c r="AO54" s="30" t="e">
        <f>#REF!</f>
        <v>#REF!</v>
      </c>
      <c r="AP54" s="30" t="e">
        <f>#REF!</f>
        <v>#REF!</v>
      </c>
      <c r="AQ54" s="30" t="e">
        <f>#REF!</f>
        <v>#REF!</v>
      </c>
      <c r="AR54" s="30" t="e">
        <f>#REF!</f>
        <v>#REF!</v>
      </c>
      <c r="AS54" s="30" t="e">
        <f>#REF!</f>
        <v>#REF!</v>
      </c>
      <c r="AT54" s="30" t="e">
        <f>#REF!</f>
        <v>#REF!</v>
      </c>
      <c r="AU54" s="30" t="e">
        <f>#REF!</f>
        <v>#REF!</v>
      </c>
      <c r="AV54" s="30" t="e">
        <f>#REF!</f>
        <v>#REF!</v>
      </c>
      <c r="AW54" s="30" t="e">
        <f>#REF!</f>
        <v>#REF!</v>
      </c>
      <c r="AX54" s="30" t="e">
        <f>#REF!</f>
        <v>#REF!</v>
      </c>
      <c r="AY54" s="30" t="e">
        <f>#REF!</f>
        <v>#REF!</v>
      </c>
      <c r="AZ54" s="32">
        <f t="shared" si="23"/>
        <v>0</v>
      </c>
    </row>
    <row r="55" spans="1:52" ht="15.5">
      <c r="A55">
        <v>8</v>
      </c>
      <c r="B55" s="30" t="str">
        <f>Critères!$B55</f>
        <v>8.4</v>
      </c>
      <c r="C55" s="30" t="str">
        <f>Critères!$A52</f>
        <v>ÉLÉMENTS OBLIGATOIRES</v>
      </c>
      <c r="D55" s="30" t="str">
        <f>'P01'!$D49</f>
        <v>NT</v>
      </c>
      <c r="E55" s="30" t="e">
        <f>#REF!</f>
        <v>#REF!</v>
      </c>
      <c r="F55" s="30" t="e">
        <f>#REF!</f>
        <v>#REF!</v>
      </c>
      <c r="G55" s="30" t="e">
        <f>#REF!</f>
        <v>#REF!</v>
      </c>
      <c r="H55" s="30" t="e">
        <f>#REF!</f>
        <v>#REF!</v>
      </c>
      <c r="I55" s="30" t="e">
        <f>#REF!</f>
        <v>#REF!</v>
      </c>
      <c r="J55" s="30" t="e">
        <f>#REF!</f>
        <v>#REF!</v>
      </c>
      <c r="K55" s="30" t="e">
        <f>#REF!</f>
        <v>#REF!</v>
      </c>
      <c r="L55" s="30" t="e">
        <f>#REF!</f>
        <v>#REF!</v>
      </c>
      <c r="M55" s="30" t="e">
        <f>#REF!</f>
        <v>#REF!</v>
      </c>
      <c r="N55" s="30" t="e">
        <f>#REF!</f>
        <v>#REF!</v>
      </c>
      <c r="O55" s="30" t="e">
        <f>#REF!</f>
        <v>#REF!</v>
      </c>
      <c r="P55" s="30" t="e">
        <f>#REF!</f>
        <v>#REF!</v>
      </c>
      <c r="Q55" s="30" t="e">
        <f>#REF!</f>
        <v>#REF!</v>
      </c>
      <c r="R55" s="30" t="e">
        <f>#REF!</f>
        <v>#REF!</v>
      </c>
      <c r="S55" s="30" t="e">
        <f>#REF!</f>
        <v>#REF!</v>
      </c>
      <c r="T55" s="30" t="e">
        <f>#REF!</f>
        <v>#REF!</v>
      </c>
      <c r="U55" s="30" t="e">
        <f>#REF!</f>
        <v>#REF!</v>
      </c>
      <c r="V55" s="30" t="e">
        <f>#REF!</f>
        <v>#REF!</v>
      </c>
      <c r="W55" s="30" t="e">
        <f>#REF!</f>
        <v>#REF!</v>
      </c>
      <c r="X55" s="32">
        <f t="shared" si="18"/>
        <v>0</v>
      </c>
      <c r="Y55" s="32">
        <f t="shared" si="19"/>
        <v>0</v>
      </c>
      <c r="Z55" s="32">
        <f t="shared" si="20"/>
        <v>0</v>
      </c>
      <c r="AA55" s="32">
        <f t="shared" si="21"/>
        <v>1</v>
      </c>
      <c r="AB55" t="str">
        <f t="shared" si="22"/>
        <v>NT</v>
      </c>
      <c r="AC55">
        <v>8</v>
      </c>
      <c r="AD55" s="30" t="str">
        <f>Critères!$B55</f>
        <v>8.4</v>
      </c>
      <c r="AE55" s="30" t="str">
        <f>Critères!$A52</f>
        <v>ÉLÉMENTS OBLIGATOIRES</v>
      </c>
      <c r="AF55" s="30" t="str">
        <f>'P01'!$E49</f>
        <v>N</v>
      </c>
      <c r="AG55" s="30" t="e">
        <f>#REF!</f>
        <v>#REF!</v>
      </c>
      <c r="AH55" s="30" t="e">
        <f>#REF!</f>
        <v>#REF!</v>
      </c>
      <c r="AI55" s="30" t="e">
        <f>#REF!</f>
        <v>#REF!</v>
      </c>
      <c r="AJ55" s="30" t="e">
        <f>#REF!</f>
        <v>#REF!</v>
      </c>
      <c r="AK55" s="30" t="e">
        <f>#REF!</f>
        <v>#REF!</v>
      </c>
      <c r="AL55" s="30" t="e">
        <f>#REF!</f>
        <v>#REF!</v>
      </c>
      <c r="AM55" s="30" t="e">
        <f>#REF!</f>
        <v>#REF!</v>
      </c>
      <c r="AN55" s="30" t="e">
        <f>#REF!</f>
        <v>#REF!</v>
      </c>
      <c r="AO55" s="30" t="e">
        <f>#REF!</f>
        <v>#REF!</v>
      </c>
      <c r="AP55" s="30" t="e">
        <f>#REF!</f>
        <v>#REF!</v>
      </c>
      <c r="AQ55" s="30" t="e">
        <f>#REF!</f>
        <v>#REF!</v>
      </c>
      <c r="AR55" s="30" t="e">
        <f>#REF!</f>
        <v>#REF!</v>
      </c>
      <c r="AS55" s="30" t="e">
        <f>#REF!</f>
        <v>#REF!</v>
      </c>
      <c r="AT55" s="30" t="e">
        <f>#REF!</f>
        <v>#REF!</v>
      </c>
      <c r="AU55" s="30" t="e">
        <f>#REF!</f>
        <v>#REF!</v>
      </c>
      <c r="AV55" s="30" t="e">
        <f>#REF!</f>
        <v>#REF!</v>
      </c>
      <c r="AW55" s="30" t="e">
        <f>#REF!</f>
        <v>#REF!</v>
      </c>
      <c r="AX55" s="30" t="e">
        <f>#REF!</f>
        <v>#REF!</v>
      </c>
      <c r="AY55" s="30" t="e">
        <f>#REF!</f>
        <v>#REF!</v>
      </c>
      <c r="AZ55" s="32">
        <f t="shared" si="23"/>
        <v>0</v>
      </c>
    </row>
    <row r="56" spans="1:52" ht="15.5">
      <c r="A56">
        <v>8</v>
      </c>
      <c r="B56" s="30" t="str">
        <f>Critères!$B56</f>
        <v>8.5</v>
      </c>
      <c r="C56" s="30" t="str">
        <f>Critères!$A52</f>
        <v>ÉLÉMENTS OBLIGATOIRES</v>
      </c>
      <c r="D56" s="30" t="str">
        <f>'P01'!$D50</f>
        <v>NT</v>
      </c>
      <c r="E56" s="30" t="e">
        <f>#REF!</f>
        <v>#REF!</v>
      </c>
      <c r="F56" s="30" t="e">
        <f>#REF!</f>
        <v>#REF!</v>
      </c>
      <c r="G56" s="30" t="e">
        <f>#REF!</f>
        <v>#REF!</v>
      </c>
      <c r="H56" s="30" t="e">
        <f>#REF!</f>
        <v>#REF!</v>
      </c>
      <c r="I56" s="30" t="e">
        <f>#REF!</f>
        <v>#REF!</v>
      </c>
      <c r="J56" s="30" t="e">
        <f>#REF!</f>
        <v>#REF!</v>
      </c>
      <c r="K56" s="30" t="e">
        <f>#REF!</f>
        <v>#REF!</v>
      </c>
      <c r="L56" s="30" t="e">
        <f>#REF!</f>
        <v>#REF!</v>
      </c>
      <c r="M56" s="30" t="e">
        <f>#REF!</f>
        <v>#REF!</v>
      </c>
      <c r="N56" s="30" t="e">
        <f>#REF!</f>
        <v>#REF!</v>
      </c>
      <c r="O56" s="30" t="e">
        <f>#REF!</f>
        <v>#REF!</v>
      </c>
      <c r="P56" s="30" t="e">
        <f>#REF!</f>
        <v>#REF!</v>
      </c>
      <c r="Q56" s="30" t="e">
        <f>#REF!</f>
        <v>#REF!</v>
      </c>
      <c r="R56" s="30" t="e">
        <f>#REF!</f>
        <v>#REF!</v>
      </c>
      <c r="S56" s="30" t="e">
        <f>#REF!</f>
        <v>#REF!</v>
      </c>
      <c r="T56" s="30" t="e">
        <f>#REF!</f>
        <v>#REF!</v>
      </c>
      <c r="U56" s="30" t="e">
        <f>#REF!</f>
        <v>#REF!</v>
      </c>
      <c r="V56" s="30" t="e">
        <f>#REF!</f>
        <v>#REF!</v>
      </c>
      <c r="W56" s="30" t="e">
        <f>#REF!</f>
        <v>#REF!</v>
      </c>
      <c r="X56" s="32">
        <f t="shared" si="18"/>
        <v>0</v>
      </c>
      <c r="Y56" s="32">
        <f t="shared" si="19"/>
        <v>0</v>
      </c>
      <c r="Z56" s="32">
        <f t="shared" si="20"/>
        <v>0</v>
      </c>
      <c r="AA56" s="32">
        <f t="shared" si="21"/>
        <v>1</v>
      </c>
      <c r="AB56" t="str">
        <f t="shared" si="22"/>
        <v>NT</v>
      </c>
      <c r="AC56">
        <v>8</v>
      </c>
      <c r="AD56" s="30" t="str">
        <f>Critères!$B56</f>
        <v>8.5</v>
      </c>
      <c r="AE56" s="30" t="str">
        <f>Critères!$A52</f>
        <v>ÉLÉMENTS OBLIGATOIRES</v>
      </c>
      <c r="AF56" s="30" t="str">
        <f>'P01'!$E50</f>
        <v>N</v>
      </c>
      <c r="AG56" s="30" t="e">
        <f>#REF!</f>
        <v>#REF!</v>
      </c>
      <c r="AH56" s="30" t="e">
        <f>#REF!</f>
        <v>#REF!</v>
      </c>
      <c r="AI56" s="30" t="e">
        <f>#REF!</f>
        <v>#REF!</v>
      </c>
      <c r="AJ56" s="30" t="e">
        <f>#REF!</f>
        <v>#REF!</v>
      </c>
      <c r="AK56" s="30" t="e">
        <f>#REF!</f>
        <v>#REF!</v>
      </c>
      <c r="AL56" s="30" t="e">
        <f>#REF!</f>
        <v>#REF!</v>
      </c>
      <c r="AM56" s="30" t="e">
        <f>#REF!</f>
        <v>#REF!</v>
      </c>
      <c r="AN56" s="30" t="e">
        <f>#REF!</f>
        <v>#REF!</v>
      </c>
      <c r="AO56" s="30" t="e">
        <f>#REF!</f>
        <v>#REF!</v>
      </c>
      <c r="AP56" s="30" t="e">
        <f>#REF!</f>
        <v>#REF!</v>
      </c>
      <c r="AQ56" s="30" t="e">
        <f>#REF!</f>
        <v>#REF!</v>
      </c>
      <c r="AR56" s="30" t="e">
        <f>#REF!</f>
        <v>#REF!</v>
      </c>
      <c r="AS56" s="30" t="e">
        <f>#REF!</f>
        <v>#REF!</v>
      </c>
      <c r="AT56" s="30" t="e">
        <f>#REF!</f>
        <v>#REF!</v>
      </c>
      <c r="AU56" s="30" t="e">
        <f>#REF!</f>
        <v>#REF!</v>
      </c>
      <c r="AV56" s="30" t="e">
        <f>#REF!</f>
        <v>#REF!</v>
      </c>
      <c r="AW56" s="30" t="e">
        <f>#REF!</f>
        <v>#REF!</v>
      </c>
      <c r="AX56" s="30" t="e">
        <f>#REF!</f>
        <v>#REF!</v>
      </c>
      <c r="AY56" s="30" t="e">
        <f>#REF!</f>
        <v>#REF!</v>
      </c>
      <c r="AZ56" s="32">
        <f t="shared" si="23"/>
        <v>0</v>
      </c>
    </row>
    <row r="57" spans="1:52" ht="15.5">
      <c r="A57">
        <v>8</v>
      </c>
      <c r="B57" s="30" t="str">
        <f>Critères!$B57</f>
        <v>8.6</v>
      </c>
      <c r="C57" s="30" t="str">
        <f>Critères!$A52</f>
        <v>ÉLÉMENTS OBLIGATOIRES</v>
      </c>
      <c r="D57" s="30" t="str">
        <f>'P01'!$D51</f>
        <v>NT</v>
      </c>
      <c r="E57" s="30" t="e">
        <f>#REF!</f>
        <v>#REF!</v>
      </c>
      <c r="F57" s="30" t="e">
        <f>#REF!</f>
        <v>#REF!</v>
      </c>
      <c r="G57" s="30" t="e">
        <f>#REF!</f>
        <v>#REF!</v>
      </c>
      <c r="H57" s="30" t="e">
        <f>#REF!</f>
        <v>#REF!</v>
      </c>
      <c r="I57" s="30" t="e">
        <f>#REF!</f>
        <v>#REF!</v>
      </c>
      <c r="J57" s="30" t="e">
        <f>#REF!</f>
        <v>#REF!</v>
      </c>
      <c r="K57" s="30" t="e">
        <f>#REF!</f>
        <v>#REF!</v>
      </c>
      <c r="L57" s="30" t="e">
        <f>#REF!</f>
        <v>#REF!</v>
      </c>
      <c r="M57" s="30" t="e">
        <f>#REF!</f>
        <v>#REF!</v>
      </c>
      <c r="N57" s="30" t="e">
        <f>#REF!</f>
        <v>#REF!</v>
      </c>
      <c r="O57" s="30" t="e">
        <f>#REF!</f>
        <v>#REF!</v>
      </c>
      <c r="P57" s="30" t="e">
        <f>#REF!</f>
        <v>#REF!</v>
      </c>
      <c r="Q57" s="30" t="e">
        <f>#REF!</f>
        <v>#REF!</v>
      </c>
      <c r="R57" s="30" t="e">
        <f>#REF!</f>
        <v>#REF!</v>
      </c>
      <c r="S57" s="30" t="e">
        <f>#REF!</f>
        <v>#REF!</v>
      </c>
      <c r="T57" s="30" t="e">
        <f>#REF!</f>
        <v>#REF!</v>
      </c>
      <c r="U57" s="30" t="e">
        <f>#REF!</f>
        <v>#REF!</v>
      </c>
      <c r="V57" s="30" t="e">
        <f>#REF!</f>
        <v>#REF!</v>
      </c>
      <c r="W57" s="30" t="e">
        <f>#REF!</f>
        <v>#REF!</v>
      </c>
      <c r="X57" s="32">
        <f t="shared" si="18"/>
        <v>0</v>
      </c>
      <c r="Y57" s="32">
        <f t="shared" si="19"/>
        <v>0</v>
      </c>
      <c r="Z57" s="32">
        <f t="shared" si="20"/>
        <v>0</v>
      </c>
      <c r="AA57" s="32">
        <f t="shared" si="21"/>
        <v>1</v>
      </c>
      <c r="AB57" t="str">
        <f t="shared" si="22"/>
        <v>NT</v>
      </c>
      <c r="AC57">
        <v>8</v>
      </c>
      <c r="AD57" s="30" t="str">
        <f>Critères!$B57</f>
        <v>8.6</v>
      </c>
      <c r="AE57" s="30" t="str">
        <f>Critères!$A52</f>
        <v>ÉLÉMENTS OBLIGATOIRES</v>
      </c>
      <c r="AF57" s="30" t="str">
        <f>'P01'!$E51</f>
        <v>N</v>
      </c>
      <c r="AG57" s="30" t="e">
        <f>#REF!</f>
        <v>#REF!</v>
      </c>
      <c r="AH57" s="30" t="e">
        <f>#REF!</f>
        <v>#REF!</v>
      </c>
      <c r="AI57" s="30" t="e">
        <f>#REF!</f>
        <v>#REF!</v>
      </c>
      <c r="AJ57" s="30" t="e">
        <f>#REF!</f>
        <v>#REF!</v>
      </c>
      <c r="AK57" s="30" t="e">
        <f>#REF!</f>
        <v>#REF!</v>
      </c>
      <c r="AL57" s="30" t="e">
        <f>#REF!</f>
        <v>#REF!</v>
      </c>
      <c r="AM57" s="30" t="e">
        <f>#REF!</f>
        <v>#REF!</v>
      </c>
      <c r="AN57" s="30" t="e">
        <f>#REF!</f>
        <v>#REF!</v>
      </c>
      <c r="AO57" s="30" t="e">
        <f>#REF!</f>
        <v>#REF!</v>
      </c>
      <c r="AP57" s="30" t="e">
        <f>#REF!</f>
        <v>#REF!</v>
      </c>
      <c r="AQ57" s="30" t="e">
        <f>#REF!</f>
        <v>#REF!</v>
      </c>
      <c r="AR57" s="30" t="e">
        <f>#REF!</f>
        <v>#REF!</v>
      </c>
      <c r="AS57" s="30" t="e">
        <f>#REF!</f>
        <v>#REF!</v>
      </c>
      <c r="AT57" s="30" t="e">
        <f>#REF!</f>
        <v>#REF!</v>
      </c>
      <c r="AU57" s="30" t="e">
        <f>#REF!</f>
        <v>#REF!</v>
      </c>
      <c r="AV57" s="30" t="e">
        <f>#REF!</f>
        <v>#REF!</v>
      </c>
      <c r="AW57" s="30" t="e">
        <f>#REF!</f>
        <v>#REF!</v>
      </c>
      <c r="AX57" s="30" t="e">
        <f>#REF!</f>
        <v>#REF!</v>
      </c>
      <c r="AY57" s="30" t="e">
        <f>#REF!</f>
        <v>#REF!</v>
      </c>
      <c r="AZ57" s="32">
        <f t="shared" si="23"/>
        <v>0</v>
      </c>
    </row>
    <row r="58" spans="1:52" ht="15.5">
      <c r="A58">
        <v>8</v>
      </c>
      <c r="B58" s="30" t="str">
        <f>Critères!$B58</f>
        <v>8.7</v>
      </c>
      <c r="C58" s="30" t="str">
        <f>Critères!$A52</f>
        <v>ÉLÉMENTS OBLIGATOIRES</v>
      </c>
      <c r="D58" s="30" t="str">
        <f>'P01'!$D52</f>
        <v>NT</v>
      </c>
      <c r="E58" s="30" t="e">
        <f>#REF!</f>
        <v>#REF!</v>
      </c>
      <c r="F58" s="30" t="e">
        <f>#REF!</f>
        <v>#REF!</v>
      </c>
      <c r="G58" s="30" t="e">
        <f>#REF!</f>
        <v>#REF!</v>
      </c>
      <c r="H58" s="30" t="e">
        <f>#REF!</f>
        <v>#REF!</v>
      </c>
      <c r="I58" s="30" t="e">
        <f>#REF!</f>
        <v>#REF!</v>
      </c>
      <c r="J58" s="30" t="e">
        <f>#REF!</f>
        <v>#REF!</v>
      </c>
      <c r="K58" s="30" t="e">
        <f>#REF!</f>
        <v>#REF!</v>
      </c>
      <c r="L58" s="30" t="e">
        <f>#REF!</f>
        <v>#REF!</v>
      </c>
      <c r="M58" s="30" t="e">
        <f>#REF!</f>
        <v>#REF!</v>
      </c>
      <c r="N58" s="30" t="e">
        <f>#REF!</f>
        <v>#REF!</v>
      </c>
      <c r="O58" s="30" t="e">
        <f>#REF!</f>
        <v>#REF!</v>
      </c>
      <c r="P58" s="30" t="e">
        <f>#REF!</f>
        <v>#REF!</v>
      </c>
      <c r="Q58" s="30" t="e">
        <f>#REF!</f>
        <v>#REF!</v>
      </c>
      <c r="R58" s="30" t="e">
        <f>#REF!</f>
        <v>#REF!</v>
      </c>
      <c r="S58" s="30" t="e">
        <f>#REF!</f>
        <v>#REF!</v>
      </c>
      <c r="T58" s="30" t="e">
        <f>#REF!</f>
        <v>#REF!</v>
      </c>
      <c r="U58" s="30" t="e">
        <f>#REF!</f>
        <v>#REF!</v>
      </c>
      <c r="V58" s="30" t="e">
        <f>#REF!</f>
        <v>#REF!</v>
      </c>
      <c r="W58" s="30" t="e">
        <f>#REF!</f>
        <v>#REF!</v>
      </c>
      <c r="X58" s="32">
        <f t="shared" si="18"/>
        <v>0</v>
      </c>
      <c r="Y58" s="32">
        <f t="shared" si="19"/>
        <v>0</v>
      </c>
      <c r="Z58" s="32">
        <f t="shared" si="20"/>
        <v>0</v>
      </c>
      <c r="AA58" s="32">
        <f t="shared" si="21"/>
        <v>1</v>
      </c>
      <c r="AB58" t="str">
        <f t="shared" si="22"/>
        <v>NT</v>
      </c>
      <c r="AC58">
        <v>8</v>
      </c>
      <c r="AD58" s="30" t="str">
        <f>Critères!$B58</f>
        <v>8.7</v>
      </c>
      <c r="AE58" s="30" t="str">
        <f>Critères!$A52</f>
        <v>ÉLÉMENTS OBLIGATOIRES</v>
      </c>
      <c r="AF58" s="30" t="str">
        <f>'P01'!$E52</f>
        <v>N</v>
      </c>
      <c r="AG58" s="30" t="e">
        <f>#REF!</f>
        <v>#REF!</v>
      </c>
      <c r="AH58" s="30" t="e">
        <f>#REF!</f>
        <v>#REF!</v>
      </c>
      <c r="AI58" s="30" t="e">
        <f>#REF!</f>
        <v>#REF!</v>
      </c>
      <c r="AJ58" s="30" t="e">
        <f>#REF!</f>
        <v>#REF!</v>
      </c>
      <c r="AK58" s="30" t="e">
        <f>#REF!</f>
        <v>#REF!</v>
      </c>
      <c r="AL58" s="30" t="e">
        <f>#REF!</f>
        <v>#REF!</v>
      </c>
      <c r="AM58" s="30" t="e">
        <f>#REF!</f>
        <v>#REF!</v>
      </c>
      <c r="AN58" s="30" t="e">
        <f>#REF!</f>
        <v>#REF!</v>
      </c>
      <c r="AO58" s="30" t="e">
        <f>#REF!</f>
        <v>#REF!</v>
      </c>
      <c r="AP58" s="30" t="e">
        <f>#REF!</f>
        <v>#REF!</v>
      </c>
      <c r="AQ58" s="30" t="e">
        <f>#REF!</f>
        <v>#REF!</v>
      </c>
      <c r="AR58" s="30" t="e">
        <f>#REF!</f>
        <v>#REF!</v>
      </c>
      <c r="AS58" s="30" t="e">
        <f>#REF!</f>
        <v>#REF!</v>
      </c>
      <c r="AT58" s="30" t="e">
        <f>#REF!</f>
        <v>#REF!</v>
      </c>
      <c r="AU58" s="30" t="e">
        <f>#REF!</f>
        <v>#REF!</v>
      </c>
      <c r="AV58" s="30" t="e">
        <f>#REF!</f>
        <v>#REF!</v>
      </c>
      <c r="AW58" s="30" t="e">
        <f>#REF!</f>
        <v>#REF!</v>
      </c>
      <c r="AX58" s="30" t="e">
        <f>#REF!</f>
        <v>#REF!</v>
      </c>
      <c r="AY58" s="30" t="e">
        <f>#REF!</f>
        <v>#REF!</v>
      </c>
      <c r="AZ58" s="32">
        <f t="shared" si="23"/>
        <v>0</v>
      </c>
    </row>
    <row r="59" spans="1:52" ht="15.5">
      <c r="A59">
        <v>8</v>
      </c>
      <c r="B59" s="30" t="str">
        <f>Critères!$B59</f>
        <v>8.8</v>
      </c>
      <c r="C59" s="30" t="str">
        <f>Critères!$A52</f>
        <v>ÉLÉMENTS OBLIGATOIRES</v>
      </c>
      <c r="D59" s="30" t="str">
        <f>'P01'!$D53</f>
        <v>NT</v>
      </c>
      <c r="E59" s="30" t="e">
        <f>#REF!</f>
        <v>#REF!</v>
      </c>
      <c r="F59" s="30" t="e">
        <f>#REF!</f>
        <v>#REF!</v>
      </c>
      <c r="G59" s="30" t="e">
        <f>#REF!</f>
        <v>#REF!</v>
      </c>
      <c r="H59" s="30" t="e">
        <f>#REF!</f>
        <v>#REF!</v>
      </c>
      <c r="I59" s="30" t="e">
        <f>#REF!</f>
        <v>#REF!</v>
      </c>
      <c r="J59" s="30" t="e">
        <f>#REF!</f>
        <v>#REF!</v>
      </c>
      <c r="K59" s="30" t="e">
        <f>#REF!</f>
        <v>#REF!</v>
      </c>
      <c r="L59" s="30" t="e">
        <f>#REF!</f>
        <v>#REF!</v>
      </c>
      <c r="M59" s="30" t="e">
        <f>#REF!</f>
        <v>#REF!</v>
      </c>
      <c r="N59" s="30" t="e">
        <f>#REF!</f>
        <v>#REF!</v>
      </c>
      <c r="O59" s="30" t="e">
        <f>#REF!</f>
        <v>#REF!</v>
      </c>
      <c r="P59" s="30" t="e">
        <f>#REF!</f>
        <v>#REF!</v>
      </c>
      <c r="Q59" s="30" t="e">
        <f>#REF!</f>
        <v>#REF!</v>
      </c>
      <c r="R59" s="30" t="e">
        <f>#REF!</f>
        <v>#REF!</v>
      </c>
      <c r="S59" s="30" t="e">
        <f>#REF!</f>
        <v>#REF!</v>
      </c>
      <c r="T59" s="30" t="e">
        <f>#REF!</f>
        <v>#REF!</v>
      </c>
      <c r="U59" s="30" t="e">
        <f>#REF!</f>
        <v>#REF!</v>
      </c>
      <c r="V59" s="30" t="e">
        <f>#REF!</f>
        <v>#REF!</v>
      </c>
      <c r="W59" s="30" t="e">
        <f>#REF!</f>
        <v>#REF!</v>
      </c>
      <c r="X59" s="32">
        <f t="shared" si="18"/>
        <v>0</v>
      </c>
      <c r="Y59" s="32">
        <f t="shared" si="19"/>
        <v>0</v>
      </c>
      <c r="Z59" s="32">
        <f t="shared" si="20"/>
        <v>0</v>
      </c>
      <c r="AA59" s="32">
        <f t="shared" si="21"/>
        <v>1</v>
      </c>
      <c r="AB59" t="str">
        <f t="shared" si="22"/>
        <v>NT</v>
      </c>
      <c r="AC59">
        <v>8</v>
      </c>
      <c r="AD59" s="30" t="str">
        <f>Critères!$B59</f>
        <v>8.8</v>
      </c>
      <c r="AE59" s="30" t="str">
        <f>Critères!$A52</f>
        <v>ÉLÉMENTS OBLIGATOIRES</v>
      </c>
      <c r="AF59" s="30" t="str">
        <f>'P01'!$E53</f>
        <v>N</v>
      </c>
      <c r="AG59" s="30" t="e">
        <f>#REF!</f>
        <v>#REF!</v>
      </c>
      <c r="AH59" s="30" t="e">
        <f>#REF!</f>
        <v>#REF!</v>
      </c>
      <c r="AI59" s="30" t="e">
        <f>#REF!</f>
        <v>#REF!</v>
      </c>
      <c r="AJ59" s="30" t="e">
        <f>#REF!</f>
        <v>#REF!</v>
      </c>
      <c r="AK59" s="30" t="e">
        <f>#REF!</f>
        <v>#REF!</v>
      </c>
      <c r="AL59" s="30" t="e">
        <f>#REF!</f>
        <v>#REF!</v>
      </c>
      <c r="AM59" s="30" t="e">
        <f>#REF!</f>
        <v>#REF!</v>
      </c>
      <c r="AN59" s="30" t="e">
        <f>#REF!</f>
        <v>#REF!</v>
      </c>
      <c r="AO59" s="30" t="e">
        <f>#REF!</f>
        <v>#REF!</v>
      </c>
      <c r="AP59" s="30" t="e">
        <f>#REF!</f>
        <v>#REF!</v>
      </c>
      <c r="AQ59" s="30" t="e">
        <f>#REF!</f>
        <v>#REF!</v>
      </c>
      <c r="AR59" s="30" t="e">
        <f>#REF!</f>
        <v>#REF!</v>
      </c>
      <c r="AS59" s="30" t="e">
        <f>#REF!</f>
        <v>#REF!</v>
      </c>
      <c r="AT59" s="30" t="e">
        <f>#REF!</f>
        <v>#REF!</v>
      </c>
      <c r="AU59" s="30" t="e">
        <f>#REF!</f>
        <v>#REF!</v>
      </c>
      <c r="AV59" s="30" t="e">
        <f>#REF!</f>
        <v>#REF!</v>
      </c>
      <c r="AW59" s="30" t="e">
        <f>#REF!</f>
        <v>#REF!</v>
      </c>
      <c r="AX59" s="30" t="e">
        <f>#REF!</f>
        <v>#REF!</v>
      </c>
      <c r="AY59" s="30" t="e">
        <f>#REF!</f>
        <v>#REF!</v>
      </c>
      <c r="AZ59" s="32">
        <f t="shared" si="23"/>
        <v>0</v>
      </c>
    </row>
    <row r="60" spans="1:52" ht="15.5">
      <c r="A60">
        <v>8</v>
      </c>
      <c r="B60" s="30" t="str">
        <f>Critères!$B60</f>
        <v>8.9</v>
      </c>
      <c r="C60" s="30" t="str">
        <f>Critères!$A52</f>
        <v>ÉLÉMENTS OBLIGATOIRES</v>
      </c>
      <c r="D60" s="30" t="str">
        <f>'P01'!$D54</f>
        <v>NT</v>
      </c>
      <c r="E60" s="30" t="e">
        <f>#REF!</f>
        <v>#REF!</v>
      </c>
      <c r="F60" s="30" t="e">
        <f>#REF!</f>
        <v>#REF!</v>
      </c>
      <c r="G60" s="30" t="e">
        <f>#REF!</f>
        <v>#REF!</v>
      </c>
      <c r="H60" s="30" t="e">
        <f>#REF!</f>
        <v>#REF!</v>
      </c>
      <c r="I60" s="30" t="e">
        <f>#REF!</f>
        <v>#REF!</v>
      </c>
      <c r="J60" s="30" t="e">
        <f>#REF!</f>
        <v>#REF!</v>
      </c>
      <c r="K60" s="30" t="e">
        <f>#REF!</f>
        <v>#REF!</v>
      </c>
      <c r="L60" s="30" t="e">
        <f>#REF!</f>
        <v>#REF!</v>
      </c>
      <c r="M60" s="30" t="e">
        <f>#REF!</f>
        <v>#REF!</v>
      </c>
      <c r="N60" s="30" t="e">
        <f>#REF!</f>
        <v>#REF!</v>
      </c>
      <c r="O60" s="30" t="e">
        <f>#REF!</f>
        <v>#REF!</v>
      </c>
      <c r="P60" s="30" t="e">
        <f>#REF!</f>
        <v>#REF!</v>
      </c>
      <c r="Q60" s="30" t="e">
        <f>#REF!</f>
        <v>#REF!</v>
      </c>
      <c r="R60" s="30" t="e">
        <f>#REF!</f>
        <v>#REF!</v>
      </c>
      <c r="S60" s="30" t="e">
        <f>#REF!</f>
        <v>#REF!</v>
      </c>
      <c r="T60" s="30" t="e">
        <f>#REF!</f>
        <v>#REF!</v>
      </c>
      <c r="U60" s="30" t="e">
        <f>#REF!</f>
        <v>#REF!</v>
      </c>
      <c r="V60" s="30" t="e">
        <f>#REF!</f>
        <v>#REF!</v>
      </c>
      <c r="W60" s="30" t="e">
        <f>#REF!</f>
        <v>#REF!</v>
      </c>
      <c r="X60" s="32">
        <f t="shared" si="18"/>
        <v>0</v>
      </c>
      <c r="Y60" s="32">
        <f t="shared" si="19"/>
        <v>0</v>
      </c>
      <c r="Z60" s="32">
        <f t="shared" si="20"/>
        <v>0</v>
      </c>
      <c r="AA60" s="32">
        <f t="shared" si="21"/>
        <v>1</v>
      </c>
      <c r="AB60" t="str">
        <f t="shared" si="22"/>
        <v>NT</v>
      </c>
      <c r="AC60">
        <v>8</v>
      </c>
      <c r="AD60" s="30" t="str">
        <f>Critères!$B60</f>
        <v>8.9</v>
      </c>
      <c r="AE60" s="30" t="str">
        <f>Critères!$A52</f>
        <v>ÉLÉMENTS OBLIGATOIRES</v>
      </c>
      <c r="AF60" s="30" t="str">
        <f>'P01'!$E54</f>
        <v>N</v>
      </c>
      <c r="AG60" s="30" t="e">
        <f>#REF!</f>
        <v>#REF!</v>
      </c>
      <c r="AH60" s="30" t="e">
        <f>#REF!</f>
        <v>#REF!</v>
      </c>
      <c r="AI60" s="30" t="e">
        <f>#REF!</f>
        <v>#REF!</v>
      </c>
      <c r="AJ60" s="30" t="e">
        <f>#REF!</f>
        <v>#REF!</v>
      </c>
      <c r="AK60" s="30" t="e">
        <f>#REF!</f>
        <v>#REF!</v>
      </c>
      <c r="AL60" s="30" t="e">
        <f>#REF!</f>
        <v>#REF!</v>
      </c>
      <c r="AM60" s="30" t="e">
        <f>#REF!</f>
        <v>#REF!</v>
      </c>
      <c r="AN60" s="30" t="e">
        <f>#REF!</f>
        <v>#REF!</v>
      </c>
      <c r="AO60" s="30" t="e">
        <f>#REF!</f>
        <v>#REF!</v>
      </c>
      <c r="AP60" s="30" t="e">
        <f>#REF!</f>
        <v>#REF!</v>
      </c>
      <c r="AQ60" s="30" t="e">
        <f>#REF!</f>
        <v>#REF!</v>
      </c>
      <c r="AR60" s="30" t="e">
        <f>#REF!</f>
        <v>#REF!</v>
      </c>
      <c r="AS60" s="30" t="e">
        <f>#REF!</f>
        <v>#REF!</v>
      </c>
      <c r="AT60" s="30" t="e">
        <f>#REF!</f>
        <v>#REF!</v>
      </c>
      <c r="AU60" s="30" t="e">
        <f>#REF!</f>
        <v>#REF!</v>
      </c>
      <c r="AV60" s="30" t="e">
        <f>#REF!</f>
        <v>#REF!</v>
      </c>
      <c r="AW60" s="30" t="e">
        <f>#REF!</f>
        <v>#REF!</v>
      </c>
      <c r="AX60" s="30" t="e">
        <f>#REF!</f>
        <v>#REF!</v>
      </c>
      <c r="AY60" s="30" t="e">
        <f>#REF!</f>
        <v>#REF!</v>
      </c>
      <c r="AZ60" s="32">
        <f t="shared" si="23"/>
        <v>0</v>
      </c>
    </row>
    <row r="61" spans="1:52" ht="15.5">
      <c r="A61">
        <v>8</v>
      </c>
      <c r="B61" s="30" t="str">
        <f>Critères!$B61</f>
        <v>8.10</v>
      </c>
      <c r="C61" s="30" t="str">
        <f>Critères!$A52</f>
        <v>ÉLÉMENTS OBLIGATOIRES</v>
      </c>
      <c r="D61" s="30" t="str">
        <f>'P01'!$D55</f>
        <v>NT</v>
      </c>
      <c r="E61" s="30" t="e">
        <f>#REF!</f>
        <v>#REF!</v>
      </c>
      <c r="F61" s="30" t="e">
        <f>#REF!</f>
        <v>#REF!</v>
      </c>
      <c r="G61" s="30" t="e">
        <f>#REF!</f>
        <v>#REF!</v>
      </c>
      <c r="H61" s="30" t="e">
        <f>#REF!</f>
        <v>#REF!</v>
      </c>
      <c r="I61" s="30" t="e">
        <f>#REF!</f>
        <v>#REF!</v>
      </c>
      <c r="J61" s="30" t="e">
        <f>#REF!</f>
        <v>#REF!</v>
      </c>
      <c r="K61" s="30" t="e">
        <f>#REF!</f>
        <v>#REF!</v>
      </c>
      <c r="L61" s="30" t="e">
        <f>#REF!</f>
        <v>#REF!</v>
      </c>
      <c r="M61" s="30" t="e">
        <f>#REF!</f>
        <v>#REF!</v>
      </c>
      <c r="N61" s="30" t="e">
        <f>#REF!</f>
        <v>#REF!</v>
      </c>
      <c r="O61" s="30" t="e">
        <f>#REF!</f>
        <v>#REF!</v>
      </c>
      <c r="P61" s="30" t="e">
        <f>#REF!</f>
        <v>#REF!</v>
      </c>
      <c r="Q61" s="30" t="e">
        <f>#REF!</f>
        <v>#REF!</v>
      </c>
      <c r="R61" s="30" t="e">
        <f>#REF!</f>
        <v>#REF!</v>
      </c>
      <c r="S61" s="30" t="e">
        <f>#REF!</f>
        <v>#REF!</v>
      </c>
      <c r="T61" s="30" t="e">
        <f>#REF!</f>
        <v>#REF!</v>
      </c>
      <c r="U61" s="30" t="e">
        <f>#REF!</f>
        <v>#REF!</v>
      </c>
      <c r="V61" s="30" t="e">
        <f>#REF!</f>
        <v>#REF!</v>
      </c>
      <c r="W61" s="30" t="e">
        <f>#REF!</f>
        <v>#REF!</v>
      </c>
      <c r="X61" s="32">
        <f t="shared" si="18"/>
        <v>0</v>
      </c>
      <c r="Y61" s="32">
        <f t="shared" si="19"/>
        <v>0</v>
      </c>
      <c r="Z61" s="32">
        <f t="shared" si="20"/>
        <v>0</v>
      </c>
      <c r="AA61" s="32">
        <f t="shared" si="21"/>
        <v>1</v>
      </c>
      <c r="AB61" t="str">
        <f t="shared" si="22"/>
        <v>NT</v>
      </c>
      <c r="AC61">
        <v>8</v>
      </c>
      <c r="AD61" s="30" t="str">
        <f>Critères!$B61</f>
        <v>8.10</v>
      </c>
      <c r="AE61" s="30" t="str">
        <f>Critères!$A52</f>
        <v>ÉLÉMENTS OBLIGATOIRES</v>
      </c>
      <c r="AF61" s="30" t="str">
        <f>'P01'!$E55</f>
        <v>N</v>
      </c>
      <c r="AG61" s="30" t="e">
        <f>#REF!</f>
        <v>#REF!</v>
      </c>
      <c r="AH61" s="30" t="e">
        <f>#REF!</f>
        <v>#REF!</v>
      </c>
      <c r="AI61" s="30" t="e">
        <f>#REF!</f>
        <v>#REF!</v>
      </c>
      <c r="AJ61" s="30" t="e">
        <f>#REF!</f>
        <v>#REF!</v>
      </c>
      <c r="AK61" s="30" t="e">
        <f>#REF!</f>
        <v>#REF!</v>
      </c>
      <c r="AL61" s="30" t="e">
        <f>#REF!</f>
        <v>#REF!</v>
      </c>
      <c r="AM61" s="30" t="e">
        <f>#REF!</f>
        <v>#REF!</v>
      </c>
      <c r="AN61" s="30" t="e">
        <f>#REF!</f>
        <v>#REF!</v>
      </c>
      <c r="AO61" s="30" t="e">
        <f>#REF!</f>
        <v>#REF!</v>
      </c>
      <c r="AP61" s="30" t="e">
        <f>#REF!</f>
        <v>#REF!</v>
      </c>
      <c r="AQ61" s="30" t="e">
        <f>#REF!</f>
        <v>#REF!</v>
      </c>
      <c r="AR61" s="30" t="e">
        <f>#REF!</f>
        <v>#REF!</v>
      </c>
      <c r="AS61" s="30" t="e">
        <f>#REF!</f>
        <v>#REF!</v>
      </c>
      <c r="AT61" s="30" t="e">
        <f>#REF!</f>
        <v>#REF!</v>
      </c>
      <c r="AU61" s="30" t="e">
        <f>#REF!</f>
        <v>#REF!</v>
      </c>
      <c r="AV61" s="30" t="e">
        <f>#REF!</f>
        <v>#REF!</v>
      </c>
      <c r="AW61" s="30" t="e">
        <f>#REF!</f>
        <v>#REF!</v>
      </c>
      <c r="AX61" s="30" t="e">
        <f>#REF!</f>
        <v>#REF!</v>
      </c>
      <c r="AY61" s="30" t="e">
        <f>#REF!</f>
        <v>#REF!</v>
      </c>
      <c r="AZ61" s="32">
        <f t="shared" si="23"/>
        <v>0</v>
      </c>
    </row>
    <row r="62" spans="1:52" ht="15.5">
      <c r="A62" s="3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6">
        <f>SUM(X52:X61)</f>
        <v>0</v>
      </c>
      <c r="Y62" s="36">
        <f>SUM(Y52:Y61)</f>
        <v>0</v>
      </c>
      <c r="Z62" s="36">
        <f>SUM(Z52:Z61)</f>
        <v>0</v>
      </c>
      <c r="AA62" s="36">
        <f>SUM(AA52:AA61)</f>
        <v>10</v>
      </c>
      <c r="AC62" s="3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6">
        <f>SUM(AZ52:AZ61)</f>
        <v>0</v>
      </c>
    </row>
    <row r="63" spans="1:52" ht="15.5">
      <c r="A63">
        <v>9</v>
      </c>
      <c r="B63" s="30" t="str">
        <f>Critères!$B63</f>
        <v>9.1</v>
      </c>
      <c r="C63" s="30" t="str">
        <f>Critères!$A63</f>
        <v>STRUCTURATION</v>
      </c>
      <c r="D63" s="30" t="str">
        <f>'P01'!$D56</f>
        <v>NT</v>
      </c>
      <c r="E63" s="30" t="e">
        <f>#REF!</f>
        <v>#REF!</v>
      </c>
      <c r="F63" s="30" t="e">
        <f>#REF!</f>
        <v>#REF!</v>
      </c>
      <c r="G63" s="30" t="e">
        <f>#REF!</f>
        <v>#REF!</v>
      </c>
      <c r="H63" s="30" t="e">
        <f>#REF!</f>
        <v>#REF!</v>
      </c>
      <c r="I63" s="30" t="e">
        <f>#REF!</f>
        <v>#REF!</v>
      </c>
      <c r="J63" s="30" t="e">
        <f>#REF!</f>
        <v>#REF!</v>
      </c>
      <c r="K63" s="30" t="e">
        <f>#REF!</f>
        <v>#REF!</v>
      </c>
      <c r="L63" s="30" t="e">
        <f>#REF!</f>
        <v>#REF!</v>
      </c>
      <c r="M63" s="30" t="e">
        <f>#REF!</f>
        <v>#REF!</v>
      </c>
      <c r="N63" s="30" t="e">
        <f>#REF!</f>
        <v>#REF!</v>
      </c>
      <c r="O63" s="30" t="e">
        <f>#REF!</f>
        <v>#REF!</v>
      </c>
      <c r="P63" s="30" t="e">
        <f>#REF!</f>
        <v>#REF!</v>
      </c>
      <c r="Q63" s="30" t="e">
        <f>#REF!</f>
        <v>#REF!</v>
      </c>
      <c r="R63" s="30" t="e">
        <f>#REF!</f>
        <v>#REF!</v>
      </c>
      <c r="S63" s="30" t="e">
        <f>#REF!</f>
        <v>#REF!</v>
      </c>
      <c r="T63" s="30" t="e">
        <f>#REF!</f>
        <v>#REF!</v>
      </c>
      <c r="U63" s="30" t="e">
        <f>#REF!</f>
        <v>#REF!</v>
      </c>
      <c r="V63" s="30" t="e">
        <f>#REF!</f>
        <v>#REF!</v>
      </c>
      <c r="W63" s="30" t="e">
        <f>#REF!</f>
        <v>#REF!</v>
      </c>
      <c r="X63" s="32">
        <f>COUNTIF(D63:W63,"C")</f>
        <v>0</v>
      </c>
      <c r="Y63" s="32">
        <f>COUNTIF(D63:W63,"NC")</f>
        <v>0</v>
      </c>
      <c r="Z63" s="32">
        <f>COUNTIF(D63:W63,"NA")</f>
        <v>0</v>
      </c>
      <c r="AA63" s="32">
        <f>COUNTIF(D63:W63,"NT")</f>
        <v>1</v>
      </c>
      <c r="AB63" t="str">
        <f>IF(Y63&gt;0,"NC",IF(X63&gt;0,"C",IF(AA63&gt;0,"NT","NA")))</f>
        <v>NT</v>
      </c>
      <c r="AC63">
        <v>9</v>
      </c>
      <c r="AD63" s="30" t="str">
        <f>Critères!$B63</f>
        <v>9.1</v>
      </c>
      <c r="AE63" s="30" t="str">
        <f>Critères!$A63</f>
        <v>STRUCTURATION</v>
      </c>
      <c r="AF63" s="30" t="str">
        <f>'P01'!$E56</f>
        <v>N</v>
      </c>
      <c r="AG63" s="30" t="e">
        <f>#REF!</f>
        <v>#REF!</v>
      </c>
      <c r="AH63" s="30" t="e">
        <f>#REF!</f>
        <v>#REF!</v>
      </c>
      <c r="AI63" s="30" t="e">
        <f>#REF!</f>
        <v>#REF!</v>
      </c>
      <c r="AJ63" s="30" t="e">
        <f>#REF!</f>
        <v>#REF!</v>
      </c>
      <c r="AK63" s="30" t="e">
        <f>#REF!</f>
        <v>#REF!</v>
      </c>
      <c r="AL63" s="30" t="e">
        <f>#REF!</f>
        <v>#REF!</v>
      </c>
      <c r="AM63" s="30" t="e">
        <f>#REF!</f>
        <v>#REF!</v>
      </c>
      <c r="AN63" s="30" t="e">
        <f>#REF!</f>
        <v>#REF!</v>
      </c>
      <c r="AO63" s="30" t="e">
        <f>#REF!</f>
        <v>#REF!</v>
      </c>
      <c r="AP63" s="30" t="e">
        <f>#REF!</f>
        <v>#REF!</v>
      </c>
      <c r="AQ63" s="30" t="e">
        <f>#REF!</f>
        <v>#REF!</v>
      </c>
      <c r="AR63" s="30" t="e">
        <f>#REF!</f>
        <v>#REF!</v>
      </c>
      <c r="AS63" s="30" t="e">
        <f>#REF!</f>
        <v>#REF!</v>
      </c>
      <c r="AT63" s="30" t="e">
        <f>#REF!</f>
        <v>#REF!</v>
      </c>
      <c r="AU63" s="30" t="e">
        <f>#REF!</f>
        <v>#REF!</v>
      </c>
      <c r="AV63" s="30" t="e">
        <f>#REF!</f>
        <v>#REF!</v>
      </c>
      <c r="AW63" s="30" t="e">
        <f>#REF!</f>
        <v>#REF!</v>
      </c>
      <c r="AX63" s="30" t="e">
        <f>#REF!</f>
        <v>#REF!</v>
      </c>
      <c r="AY63" s="30" t="e">
        <f>#REF!</f>
        <v>#REF!</v>
      </c>
      <c r="AZ63" s="32">
        <f>COUNTIF(AF63:AY63,"D")</f>
        <v>0</v>
      </c>
    </row>
    <row r="64" spans="1:52" ht="15.5">
      <c r="A64">
        <v>9</v>
      </c>
      <c r="B64" s="30" t="str">
        <f>Critères!$B64</f>
        <v>9.2</v>
      </c>
      <c r="C64" s="30" t="str">
        <f>Critères!$A63</f>
        <v>STRUCTURATION</v>
      </c>
      <c r="D64" s="30" t="str">
        <f>'P01'!$D57</f>
        <v>NT</v>
      </c>
      <c r="E64" s="30" t="e">
        <f>#REF!</f>
        <v>#REF!</v>
      </c>
      <c r="F64" s="30" t="e">
        <f>#REF!</f>
        <v>#REF!</v>
      </c>
      <c r="G64" s="30" t="e">
        <f>#REF!</f>
        <v>#REF!</v>
      </c>
      <c r="H64" s="30" t="e">
        <f>#REF!</f>
        <v>#REF!</v>
      </c>
      <c r="I64" s="30" t="e">
        <f>#REF!</f>
        <v>#REF!</v>
      </c>
      <c r="J64" s="30" t="e">
        <f>#REF!</f>
        <v>#REF!</v>
      </c>
      <c r="K64" s="30" t="e">
        <f>#REF!</f>
        <v>#REF!</v>
      </c>
      <c r="L64" s="30" t="e">
        <f>#REF!</f>
        <v>#REF!</v>
      </c>
      <c r="M64" s="30" t="e">
        <f>#REF!</f>
        <v>#REF!</v>
      </c>
      <c r="N64" s="30" t="e">
        <f>#REF!</f>
        <v>#REF!</v>
      </c>
      <c r="O64" s="30" t="e">
        <f>#REF!</f>
        <v>#REF!</v>
      </c>
      <c r="P64" s="30" t="e">
        <f>#REF!</f>
        <v>#REF!</v>
      </c>
      <c r="Q64" s="30" t="e">
        <f>#REF!</f>
        <v>#REF!</v>
      </c>
      <c r="R64" s="30" t="e">
        <f>#REF!</f>
        <v>#REF!</v>
      </c>
      <c r="S64" s="30" t="e">
        <f>#REF!</f>
        <v>#REF!</v>
      </c>
      <c r="T64" s="30" t="e">
        <f>#REF!</f>
        <v>#REF!</v>
      </c>
      <c r="U64" s="30" t="e">
        <f>#REF!</f>
        <v>#REF!</v>
      </c>
      <c r="V64" s="30" t="e">
        <f>#REF!</f>
        <v>#REF!</v>
      </c>
      <c r="W64" s="30" t="e">
        <f>#REF!</f>
        <v>#REF!</v>
      </c>
      <c r="X64" s="32">
        <f>COUNTIF(D64:W64,"C")</f>
        <v>0</v>
      </c>
      <c r="Y64" s="32">
        <f>COUNTIF(D64:W64,"NC")</f>
        <v>0</v>
      </c>
      <c r="Z64" s="32">
        <f>COUNTIF(D64:W64,"NA")</f>
        <v>0</v>
      </c>
      <c r="AA64" s="32">
        <f>COUNTIF(D64:W64,"NT")</f>
        <v>1</v>
      </c>
      <c r="AB64" t="str">
        <f>IF(Y64&gt;0,"NC",IF(X64&gt;0,"C",IF(AA64&gt;0,"NT","NA")))</f>
        <v>NT</v>
      </c>
      <c r="AC64">
        <v>9</v>
      </c>
      <c r="AD64" s="30" t="str">
        <f>Critères!$B64</f>
        <v>9.2</v>
      </c>
      <c r="AE64" s="30" t="str">
        <f>Critères!$A63</f>
        <v>STRUCTURATION</v>
      </c>
      <c r="AF64" s="30" t="str">
        <f>'P01'!$E57</f>
        <v>N</v>
      </c>
      <c r="AG64" s="30" t="e">
        <f>#REF!</f>
        <v>#REF!</v>
      </c>
      <c r="AH64" s="30" t="e">
        <f>#REF!</f>
        <v>#REF!</v>
      </c>
      <c r="AI64" s="30" t="e">
        <f>#REF!</f>
        <v>#REF!</v>
      </c>
      <c r="AJ64" s="30" t="e">
        <f>#REF!</f>
        <v>#REF!</v>
      </c>
      <c r="AK64" s="30" t="e">
        <f>#REF!</f>
        <v>#REF!</v>
      </c>
      <c r="AL64" s="30" t="e">
        <f>#REF!</f>
        <v>#REF!</v>
      </c>
      <c r="AM64" s="30" t="e">
        <f>#REF!</f>
        <v>#REF!</v>
      </c>
      <c r="AN64" s="30" t="e">
        <f>#REF!</f>
        <v>#REF!</v>
      </c>
      <c r="AO64" s="30" t="e">
        <f>#REF!</f>
        <v>#REF!</v>
      </c>
      <c r="AP64" s="30" t="e">
        <f>#REF!</f>
        <v>#REF!</v>
      </c>
      <c r="AQ64" s="30" t="e">
        <f>#REF!</f>
        <v>#REF!</v>
      </c>
      <c r="AR64" s="30" t="e">
        <f>#REF!</f>
        <v>#REF!</v>
      </c>
      <c r="AS64" s="30" t="e">
        <f>#REF!</f>
        <v>#REF!</v>
      </c>
      <c r="AT64" s="30" t="e">
        <f>#REF!</f>
        <v>#REF!</v>
      </c>
      <c r="AU64" s="30" t="e">
        <f>#REF!</f>
        <v>#REF!</v>
      </c>
      <c r="AV64" s="30" t="e">
        <f>#REF!</f>
        <v>#REF!</v>
      </c>
      <c r="AW64" s="30" t="e">
        <f>#REF!</f>
        <v>#REF!</v>
      </c>
      <c r="AX64" s="30" t="e">
        <f>#REF!</f>
        <v>#REF!</v>
      </c>
      <c r="AY64" s="30" t="e">
        <f>#REF!</f>
        <v>#REF!</v>
      </c>
      <c r="AZ64" s="32">
        <f>COUNTIF(AF64:AY64,"D")</f>
        <v>0</v>
      </c>
    </row>
    <row r="65" spans="1:52" ht="15.5">
      <c r="A65">
        <v>9</v>
      </c>
      <c r="B65" s="30" t="str">
        <f>Critères!$B65</f>
        <v>9.3</v>
      </c>
      <c r="C65" s="30" t="str">
        <f>Critères!$A63</f>
        <v>STRUCTURATION</v>
      </c>
      <c r="D65" s="30" t="str">
        <f>'P01'!$D58</f>
        <v>NT</v>
      </c>
      <c r="E65" s="30" t="e">
        <f>#REF!</f>
        <v>#REF!</v>
      </c>
      <c r="F65" s="30" t="e">
        <f>#REF!</f>
        <v>#REF!</v>
      </c>
      <c r="G65" s="30" t="e">
        <f>#REF!</f>
        <v>#REF!</v>
      </c>
      <c r="H65" s="30" t="e">
        <f>#REF!</f>
        <v>#REF!</v>
      </c>
      <c r="I65" s="30" t="e">
        <f>#REF!</f>
        <v>#REF!</v>
      </c>
      <c r="J65" s="30" t="e">
        <f>#REF!</f>
        <v>#REF!</v>
      </c>
      <c r="K65" s="30" t="e">
        <f>#REF!</f>
        <v>#REF!</v>
      </c>
      <c r="L65" s="30" t="e">
        <f>#REF!</f>
        <v>#REF!</v>
      </c>
      <c r="M65" s="30" t="e">
        <f>#REF!</f>
        <v>#REF!</v>
      </c>
      <c r="N65" s="30" t="e">
        <f>#REF!</f>
        <v>#REF!</v>
      </c>
      <c r="O65" s="30" t="e">
        <f>#REF!</f>
        <v>#REF!</v>
      </c>
      <c r="P65" s="30" t="e">
        <f>#REF!</f>
        <v>#REF!</v>
      </c>
      <c r="Q65" s="30" t="e">
        <f>#REF!</f>
        <v>#REF!</v>
      </c>
      <c r="R65" s="30" t="e">
        <f>#REF!</f>
        <v>#REF!</v>
      </c>
      <c r="S65" s="30" t="e">
        <f>#REF!</f>
        <v>#REF!</v>
      </c>
      <c r="T65" s="30" t="e">
        <f>#REF!</f>
        <v>#REF!</v>
      </c>
      <c r="U65" s="30" t="e">
        <f>#REF!</f>
        <v>#REF!</v>
      </c>
      <c r="V65" s="30" t="e">
        <f>#REF!</f>
        <v>#REF!</v>
      </c>
      <c r="W65" s="30" t="e">
        <f>#REF!</f>
        <v>#REF!</v>
      </c>
      <c r="X65" s="32">
        <f>COUNTIF(D65:W65,"C")</f>
        <v>0</v>
      </c>
      <c r="Y65" s="32">
        <f>COUNTIF(D65:W65,"NC")</f>
        <v>0</v>
      </c>
      <c r="Z65" s="32">
        <f>COUNTIF(D65:W65,"NA")</f>
        <v>0</v>
      </c>
      <c r="AA65" s="32">
        <f>COUNTIF(D65:W65,"NT")</f>
        <v>1</v>
      </c>
      <c r="AB65" t="str">
        <f>IF(Y65&gt;0,"NC",IF(X65&gt;0,"C",IF(AA65&gt;0,"NT","NA")))</f>
        <v>NT</v>
      </c>
      <c r="AC65">
        <v>9</v>
      </c>
      <c r="AD65" s="30" t="str">
        <f>Critères!$B65</f>
        <v>9.3</v>
      </c>
      <c r="AE65" s="30" t="str">
        <f>Critères!$A63</f>
        <v>STRUCTURATION</v>
      </c>
      <c r="AF65" s="30" t="str">
        <f>'P01'!$E58</f>
        <v>N</v>
      </c>
      <c r="AG65" s="30" t="e">
        <f>#REF!</f>
        <v>#REF!</v>
      </c>
      <c r="AH65" s="30" t="e">
        <f>#REF!</f>
        <v>#REF!</v>
      </c>
      <c r="AI65" s="30" t="e">
        <f>#REF!</f>
        <v>#REF!</v>
      </c>
      <c r="AJ65" s="30" t="e">
        <f>#REF!</f>
        <v>#REF!</v>
      </c>
      <c r="AK65" s="30" t="e">
        <f>#REF!</f>
        <v>#REF!</v>
      </c>
      <c r="AL65" s="30" t="e">
        <f>#REF!</f>
        <v>#REF!</v>
      </c>
      <c r="AM65" s="30" t="e">
        <f>#REF!</f>
        <v>#REF!</v>
      </c>
      <c r="AN65" s="30" t="e">
        <f>#REF!</f>
        <v>#REF!</v>
      </c>
      <c r="AO65" s="30" t="e">
        <f>#REF!</f>
        <v>#REF!</v>
      </c>
      <c r="AP65" s="30" t="e">
        <f>#REF!</f>
        <v>#REF!</v>
      </c>
      <c r="AQ65" s="30" t="e">
        <f>#REF!</f>
        <v>#REF!</v>
      </c>
      <c r="AR65" s="30" t="e">
        <f>#REF!</f>
        <v>#REF!</v>
      </c>
      <c r="AS65" s="30" t="e">
        <f>#REF!</f>
        <v>#REF!</v>
      </c>
      <c r="AT65" s="30" t="e">
        <f>#REF!</f>
        <v>#REF!</v>
      </c>
      <c r="AU65" s="30" t="e">
        <f>#REF!</f>
        <v>#REF!</v>
      </c>
      <c r="AV65" s="30" t="e">
        <f>#REF!</f>
        <v>#REF!</v>
      </c>
      <c r="AW65" s="30" t="e">
        <f>#REF!</f>
        <v>#REF!</v>
      </c>
      <c r="AX65" s="30" t="e">
        <f>#REF!</f>
        <v>#REF!</v>
      </c>
      <c r="AY65" s="30" t="e">
        <f>#REF!</f>
        <v>#REF!</v>
      </c>
      <c r="AZ65" s="32">
        <f>COUNTIF(AF65:AY65,"D")</f>
        <v>0</v>
      </c>
    </row>
    <row r="66" spans="1:52" ht="15.5">
      <c r="A66">
        <v>9</v>
      </c>
      <c r="B66" s="30" t="str">
        <f>Critères!$B66</f>
        <v>9.4</v>
      </c>
      <c r="C66" s="30" t="str">
        <f>Critères!$A63</f>
        <v>STRUCTURATION</v>
      </c>
      <c r="D66" s="30" t="str">
        <f>'P01'!$D59</f>
        <v>NT</v>
      </c>
      <c r="E66" s="30" t="e">
        <f>#REF!</f>
        <v>#REF!</v>
      </c>
      <c r="F66" s="30" t="e">
        <f>#REF!</f>
        <v>#REF!</v>
      </c>
      <c r="G66" s="30" t="e">
        <f>#REF!</f>
        <v>#REF!</v>
      </c>
      <c r="H66" s="30" t="e">
        <f>#REF!</f>
        <v>#REF!</v>
      </c>
      <c r="I66" s="30" t="e">
        <f>#REF!</f>
        <v>#REF!</v>
      </c>
      <c r="J66" s="30" t="e">
        <f>#REF!</f>
        <v>#REF!</v>
      </c>
      <c r="K66" s="30" t="e">
        <f>#REF!</f>
        <v>#REF!</v>
      </c>
      <c r="L66" s="30" t="e">
        <f>#REF!</f>
        <v>#REF!</v>
      </c>
      <c r="M66" s="30" t="e">
        <f>#REF!</f>
        <v>#REF!</v>
      </c>
      <c r="N66" s="30" t="e">
        <f>#REF!</f>
        <v>#REF!</v>
      </c>
      <c r="O66" s="30" t="e">
        <f>#REF!</f>
        <v>#REF!</v>
      </c>
      <c r="P66" s="30" t="e">
        <f>#REF!</f>
        <v>#REF!</v>
      </c>
      <c r="Q66" s="30" t="e">
        <f>#REF!</f>
        <v>#REF!</v>
      </c>
      <c r="R66" s="30" t="e">
        <f>#REF!</f>
        <v>#REF!</v>
      </c>
      <c r="S66" s="30" t="e">
        <f>#REF!</f>
        <v>#REF!</v>
      </c>
      <c r="T66" s="30" t="e">
        <f>#REF!</f>
        <v>#REF!</v>
      </c>
      <c r="U66" s="30" t="e">
        <f>#REF!</f>
        <v>#REF!</v>
      </c>
      <c r="V66" s="30" t="e">
        <f>#REF!</f>
        <v>#REF!</v>
      </c>
      <c r="W66" s="30" t="e">
        <f>#REF!</f>
        <v>#REF!</v>
      </c>
      <c r="X66" s="32">
        <f>COUNTIF(D66:W66,"C")</f>
        <v>0</v>
      </c>
      <c r="Y66" s="32">
        <f>COUNTIF(D66:W66,"NC")</f>
        <v>0</v>
      </c>
      <c r="Z66" s="32">
        <f>COUNTIF(D66:W66,"NA")</f>
        <v>0</v>
      </c>
      <c r="AA66" s="32">
        <f>COUNTIF(D66:W66,"NT")</f>
        <v>1</v>
      </c>
      <c r="AB66" t="str">
        <f>IF(Y66&gt;0,"NC",IF(X66&gt;0,"C",IF(AA66&gt;0,"NT","NA")))</f>
        <v>NT</v>
      </c>
      <c r="AC66">
        <v>9</v>
      </c>
      <c r="AD66" s="30" t="str">
        <f>Critères!$B66</f>
        <v>9.4</v>
      </c>
      <c r="AE66" s="30" t="str">
        <f>Critères!$A63</f>
        <v>STRUCTURATION</v>
      </c>
      <c r="AF66" s="30" t="str">
        <f>'P01'!$E59</f>
        <v>N</v>
      </c>
      <c r="AG66" s="30" t="e">
        <f>#REF!</f>
        <v>#REF!</v>
      </c>
      <c r="AH66" s="30" t="e">
        <f>#REF!</f>
        <v>#REF!</v>
      </c>
      <c r="AI66" s="30" t="e">
        <f>#REF!</f>
        <v>#REF!</v>
      </c>
      <c r="AJ66" s="30" t="e">
        <f>#REF!</f>
        <v>#REF!</v>
      </c>
      <c r="AK66" s="30" t="e">
        <f>#REF!</f>
        <v>#REF!</v>
      </c>
      <c r="AL66" s="30" t="e">
        <f>#REF!</f>
        <v>#REF!</v>
      </c>
      <c r="AM66" s="30" t="e">
        <f>#REF!</f>
        <v>#REF!</v>
      </c>
      <c r="AN66" s="30" t="e">
        <f>#REF!</f>
        <v>#REF!</v>
      </c>
      <c r="AO66" s="30" t="e">
        <f>#REF!</f>
        <v>#REF!</v>
      </c>
      <c r="AP66" s="30" t="e">
        <f>#REF!</f>
        <v>#REF!</v>
      </c>
      <c r="AQ66" s="30" t="e">
        <f>#REF!</f>
        <v>#REF!</v>
      </c>
      <c r="AR66" s="30" t="e">
        <f>#REF!</f>
        <v>#REF!</v>
      </c>
      <c r="AS66" s="30" t="e">
        <f>#REF!</f>
        <v>#REF!</v>
      </c>
      <c r="AT66" s="30" t="e">
        <f>#REF!</f>
        <v>#REF!</v>
      </c>
      <c r="AU66" s="30" t="e">
        <f>#REF!</f>
        <v>#REF!</v>
      </c>
      <c r="AV66" s="30" t="e">
        <f>#REF!</f>
        <v>#REF!</v>
      </c>
      <c r="AW66" s="30" t="e">
        <f>#REF!</f>
        <v>#REF!</v>
      </c>
      <c r="AX66" s="30" t="e">
        <f>#REF!</f>
        <v>#REF!</v>
      </c>
      <c r="AY66" s="30" t="e">
        <f>#REF!</f>
        <v>#REF!</v>
      </c>
      <c r="AZ66" s="32">
        <f>COUNTIF(AF66:AY66,"D")</f>
        <v>0</v>
      </c>
    </row>
    <row r="67" spans="1:52" ht="15.5">
      <c r="A67" s="3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6">
        <f>SUM(X63:X66)</f>
        <v>0</v>
      </c>
      <c r="Y67" s="36">
        <f>SUM(Y63:Y66)</f>
        <v>0</v>
      </c>
      <c r="Z67" s="36">
        <f>SUM(Z63:Z66)</f>
        <v>0</v>
      </c>
      <c r="AA67" s="36">
        <f>SUM(AA63:AA66)</f>
        <v>4</v>
      </c>
      <c r="AC67" s="3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6">
        <f>SUM(AZ63:AZ66)</f>
        <v>0</v>
      </c>
    </row>
    <row r="68" spans="1:52" ht="15.5">
      <c r="A68">
        <v>10</v>
      </c>
      <c r="B68" s="30" t="str">
        <f>Critères!$B68</f>
        <v>10.1</v>
      </c>
      <c r="C68" s="30" t="str">
        <f>Critères!$A68</f>
        <v>PRÉSENTATION</v>
      </c>
      <c r="D68" s="30" t="str">
        <f>'P01'!$D60</f>
        <v>NT</v>
      </c>
      <c r="E68" s="30" t="e">
        <f>#REF!</f>
        <v>#REF!</v>
      </c>
      <c r="F68" s="30" t="e">
        <f>#REF!</f>
        <v>#REF!</v>
      </c>
      <c r="G68" s="30" t="e">
        <f>#REF!</f>
        <v>#REF!</v>
      </c>
      <c r="H68" s="30" t="e">
        <f>#REF!</f>
        <v>#REF!</v>
      </c>
      <c r="I68" s="30" t="e">
        <f>#REF!</f>
        <v>#REF!</v>
      </c>
      <c r="J68" s="30" t="e">
        <f>#REF!</f>
        <v>#REF!</v>
      </c>
      <c r="K68" s="30" t="e">
        <f>#REF!</f>
        <v>#REF!</v>
      </c>
      <c r="L68" s="30" t="e">
        <f>#REF!</f>
        <v>#REF!</v>
      </c>
      <c r="M68" s="30" t="e">
        <f>#REF!</f>
        <v>#REF!</v>
      </c>
      <c r="N68" s="30" t="e">
        <f>#REF!</f>
        <v>#REF!</v>
      </c>
      <c r="O68" s="30" t="e">
        <f>#REF!</f>
        <v>#REF!</v>
      </c>
      <c r="P68" s="30" t="e">
        <f>#REF!</f>
        <v>#REF!</v>
      </c>
      <c r="Q68" s="30" t="e">
        <f>#REF!</f>
        <v>#REF!</v>
      </c>
      <c r="R68" s="30" t="e">
        <f>#REF!</f>
        <v>#REF!</v>
      </c>
      <c r="S68" s="30" t="e">
        <f>#REF!</f>
        <v>#REF!</v>
      </c>
      <c r="T68" s="30" t="e">
        <f>#REF!</f>
        <v>#REF!</v>
      </c>
      <c r="U68" s="30" t="e">
        <f>#REF!</f>
        <v>#REF!</v>
      </c>
      <c r="V68" s="30" t="e">
        <f>#REF!</f>
        <v>#REF!</v>
      </c>
      <c r="W68" s="30" t="e">
        <f>#REF!</f>
        <v>#REF!</v>
      </c>
      <c r="X68" s="32">
        <f t="shared" ref="X68:X81" si="24">COUNTIF(D68:W68,"C")</f>
        <v>0</v>
      </c>
      <c r="Y68" s="32">
        <f t="shared" ref="Y68:Y81" si="25">COUNTIF(D68:W68,"NC")</f>
        <v>0</v>
      </c>
      <c r="Z68" s="32">
        <f t="shared" ref="Z68:Z81" si="26">COUNTIF(D68:W68,"NA")</f>
        <v>0</v>
      </c>
      <c r="AA68" s="32">
        <f t="shared" ref="AA68:AA81" si="27">COUNTIF(D68:W68,"NT")</f>
        <v>1</v>
      </c>
      <c r="AB68" t="str">
        <f t="shared" ref="AB68:AB81" si="28">IF(Y68&gt;0,"NC",IF(X68&gt;0,"C",IF(AA68&gt;0,"NT","NA")))</f>
        <v>NT</v>
      </c>
      <c r="AC68">
        <v>10</v>
      </c>
      <c r="AD68" s="30" t="str">
        <f>Critères!$B68</f>
        <v>10.1</v>
      </c>
      <c r="AE68" s="30" t="str">
        <f>Critères!$A68</f>
        <v>PRÉSENTATION</v>
      </c>
      <c r="AF68" s="30" t="str">
        <f>'P01'!$E60</f>
        <v>N</v>
      </c>
      <c r="AG68" s="30" t="e">
        <f>#REF!</f>
        <v>#REF!</v>
      </c>
      <c r="AH68" s="30" t="e">
        <f>#REF!</f>
        <v>#REF!</v>
      </c>
      <c r="AI68" s="30" t="e">
        <f>#REF!</f>
        <v>#REF!</v>
      </c>
      <c r="AJ68" s="30" t="e">
        <f>#REF!</f>
        <v>#REF!</v>
      </c>
      <c r="AK68" s="30" t="e">
        <f>#REF!</f>
        <v>#REF!</v>
      </c>
      <c r="AL68" s="30" t="e">
        <f>#REF!</f>
        <v>#REF!</v>
      </c>
      <c r="AM68" s="30" t="e">
        <f>#REF!</f>
        <v>#REF!</v>
      </c>
      <c r="AN68" s="30" t="e">
        <f>#REF!</f>
        <v>#REF!</v>
      </c>
      <c r="AO68" s="30" t="e">
        <f>#REF!</f>
        <v>#REF!</v>
      </c>
      <c r="AP68" s="30" t="e">
        <f>#REF!</f>
        <v>#REF!</v>
      </c>
      <c r="AQ68" s="30" t="e">
        <f>#REF!</f>
        <v>#REF!</v>
      </c>
      <c r="AR68" s="30" t="e">
        <f>#REF!</f>
        <v>#REF!</v>
      </c>
      <c r="AS68" s="30" t="e">
        <f>#REF!</f>
        <v>#REF!</v>
      </c>
      <c r="AT68" s="30" t="e">
        <f>#REF!</f>
        <v>#REF!</v>
      </c>
      <c r="AU68" s="30" t="e">
        <f>#REF!</f>
        <v>#REF!</v>
      </c>
      <c r="AV68" s="30" t="e">
        <f>#REF!</f>
        <v>#REF!</v>
      </c>
      <c r="AW68" s="30" t="e">
        <f>#REF!</f>
        <v>#REF!</v>
      </c>
      <c r="AX68" s="30" t="e">
        <f>#REF!</f>
        <v>#REF!</v>
      </c>
      <c r="AY68" s="30" t="e">
        <f>#REF!</f>
        <v>#REF!</v>
      </c>
      <c r="AZ68" s="32">
        <f t="shared" ref="AZ68:AZ81" si="29">COUNTIF(AF68:AY68,"D")</f>
        <v>0</v>
      </c>
    </row>
    <row r="69" spans="1:52" ht="15.5">
      <c r="A69">
        <v>10</v>
      </c>
      <c r="B69" s="30" t="str">
        <f>Critères!$B69</f>
        <v>10.2</v>
      </c>
      <c r="C69" s="30" t="str">
        <f>Critères!$A68</f>
        <v>PRÉSENTATION</v>
      </c>
      <c r="D69" s="30" t="str">
        <f>'P01'!$D61</f>
        <v>NT</v>
      </c>
      <c r="E69" s="30" t="e">
        <f>#REF!</f>
        <v>#REF!</v>
      </c>
      <c r="F69" s="30" t="e">
        <f>#REF!</f>
        <v>#REF!</v>
      </c>
      <c r="G69" s="30" t="e">
        <f>#REF!</f>
        <v>#REF!</v>
      </c>
      <c r="H69" s="30" t="e">
        <f>#REF!</f>
        <v>#REF!</v>
      </c>
      <c r="I69" s="30" t="e">
        <f>#REF!</f>
        <v>#REF!</v>
      </c>
      <c r="J69" s="30" t="e">
        <f>#REF!</f>
        <v>#REF!</v>
      </c>
      <c r="K69" s="30" t="e">
        <f>#REF!</f>
        <v>#REF!</v>
      </c>
      <c r="L69" s="30" t="e">
        <f>#REF!</f>
        <v>#REF!</v>
      </c>
      <c r="M69" s="30" t="e">
        <f>#REF!</f>
        <v>#REF!</v>
      </c>
      <c r="N69" s="30" t="e">
        <f>#REF!</f>
        <v>#REF!</v>
      </c>
      <c r="O69" s="30" t="e">
        <f>#REF!</f>
        <v>#REF!</v>
      </c>
      <c r="P69" s="30" t="e">
        <f>#REF!</f>
        <v>#REF!</v>
      </c>
      <c r="Q69" s="30" t="e">
        <f>#REF!</f>
        <v>#REF!</v>
      </c>
      <c r="R69" s="30" t="e">
        <f>#REF!</f>
        <v>#REF!</v>
      </c>
      <c r="S69" s="30" t="e">
        <f>#REF!</f>
        <v>#REF!</v>
      </c>
      <c r="T69" s="30" t="e">
        <f>#REF!</f>
        <v>#REF!</v>
      </c>
      <c r="U69" s="30" t="e">
        <f>#REF!</f>
        <v>#REF!</v>
      </c>
      <c r="V69" s="30" t="e">
        <f>#REF!</f>
        <v>#REF!</v>
      </c>
      <c r="W69" s="30" t="e">
        <f>#REF!</f>
        <v>#REF!</v>
      </c>
      <c r="X69" s="32">
        <f t="shared" si="24"/>
        <v>0</v>
      </c>
      <c r="Y69" s="32">
        <f t="shared" si="25"/>
        <v>0</v>
      </c>
      <c r="Z69" s="32">
        <f t="shared" si="26"/>
        <v>0</v>
      </c>
      <c r="AA69" s="32">
        <f t="shared" si="27"/>
        <v>1</v>
      </c>
      <c r="AB69" t="str">
        <f t="shared" si="28"/>
        <v>NT</v>
      </c>
      <c r="AC69">
        <v>10</v>
      </c>
      <c r="AD69" s="30" t="str">
        <f>Critères!$B69</f>
        <v>10.2</v>
      </c>
      <c r="AE69" s="30" t="str">
        <f>Critères!$A68</f>
        <v>PRÉSENTATION</v>
      </c>
      <c r="AF69" s="30" t="str">
        <f>'P01'!$E61</f>
        <v>N</v>
      </c>
      <c r="AG69" s="30" t="e">
        <f>#REF!</f>
        <v>#REF!</v>
      </c>
      <c r="AH69" s="30" t="e">
        <f>#REF!</f>
        <v>#REF!</v>
      </c>
      <c r="AI69" s="30" t="e">
        <f>#REF!</f>
        <v>#REF!</v>
      </c>
      <c r="AJ69" s="30" t="e">
        <f>#REF!</f>
        <v>#REF!</v>
      </c>
      <c r="AK69" s="30" t="e">
        <f>#REF!</f>
        <v>#REF!</v>
      </c>
      <c r="AL69" s="30" t="e">
        <f>#REF!</f>
        <v>#REF!</v>
      </c>
      <c r="AM69" s="30" t="e">
        <f>#REF!</f>
        <v>#REF!</v>
      </c>
      <c r="AN69" s="30" t="e">
        <f>#REF!</f>
        <v>#REF!</v>
      </c>
      <c r="AO69" s="30" t="e">
        <f>#REF!</f>
        <v>#REF!</v>
      </c>
      <c r="AP69" s="30" t="e">
        <f>#REF!</f>
        <v>#REF!</v>
      </c>
      <c r="AQ69" s="30" t="e">
        <f>#REF!</f>
        <v>#REF!</v>
      </c>
      <c r="AR69" s="30" t="e">
        <f>#REF!</f>
        <v>#REF!</v>
      </c>
      <c r="AS69" s="30" t="e">
        <f>#REF!</f>
        <v>#REF!</v>
      </c>
      <c r="AT69" s="30" t="e">
        <f>#REF!</f>
        <v>#REF!</v>
      </c>
      <c r="AU69" s="30" t="e">
        <f>#REF!</f>
        <v>#REF!</v>
      </c>
      <c r="AV69" s="30" t="e">
        <f>#REF!</f>
        <v>#REF!</v>
      </c>
      <c r="AW69" s="30" t="e">
        <f>#REF!</f>
        <v>#REF!</v>
      </c>
      <c r="AX69" s="30" t="e">
        <f>#REF!</f>
        <v>#REF!</v>
      </c>
      <c r="AY69" s="30" t="e">
        <f>#REF!</f>
        <v>#REF!</v>
      </c>
      <c r="AZ69" s="32">
        <f t="shared" si="29"/>
        <v>0</v>
      </c>
    </row>
    <row r="70" spans="1:52" ht="15.5">
      <c r="A70">
        <v>10</v>
      </c>
      <c r="B70" s="30" t="str">
        <f>Critères!$B70</f>
        <v>10.3</v>
      </c>
      <c r="C70" s="30" t="str">
        <f>Critères!$A68</f>
        <v>PRÉSENTATION</v>
      </c>
      <c r="D70" s="30" t="str">
        <f>'P01'!$D62</f>
        <v>NT</v>
      </c>
      <c r="E70" s="30" t="e">
        <f>#REF!</f>
        <v>#REF!</v>
      </c>
      <c r="F70" s="30" t="e">
        <f>#REF!</f>
        <v>#REF!</v>
      </c>
      <c r="G70" s="30" t="e">
        <f>#REF!</f>
        <v>#REF!</v>
      </c>
      <c r="H70" s="30" t="e">
        <f>#REF!</f>
        <v>#REF!</v>
      </c>
      <c r="I70" s="30" t="e">
        <f>#REF!</f>
        <v>#REF!</v>
      </c>
      <c r="J70" s="30" t="e">
        <f>#REF!</f>
        <v>#REF!</v>
      </c>
      <c r="K70" s="30" t="e">
        <f>#REF!</f>
        <v>#REF!</v>
      </c>
      <c r="L70" s="30" t="e">
        <f>#REF!</f>
        <v>#REF!</v>
      </c>
      <c r="M70" s="30" t="e">
        <f>#REF!</f>
        <v>#REF!</v>
      </c>
      <c r="N70" s="30" t="e">
        <f>#REF!</f>
        <v>#REF!</v>
      </c>
      <c r="O70" s="30" t="e">
        <f>#REF!</f>
        <v>#REF!</v>
      </c>
      <c r="P70" s="30" t="e">
        <f>#REF!</f>
        <v>#REF!</v>
      </c>
      <c r="Q70" s="30" t="e">
        <f>#REF!</f>
        <v>#REF!</v>
      </c>
      <c r="R70" s="30" t="e">
        <f>#REF!</f>
        <v>#REF!</v>
      </c>
      <c r="S70" s="30" t="e">
        <f>#REF!</f>
        <v>#REF!</v>
      </c>
      <c r="T70" s="30" t="e">
        <f>#REF!</f>
        <v>#REF!</v>
      </c>
      <c r="U70" s="30" t="e">
        <f>#REF!</f>
        <v>#REF!</v>
      </c>
      <c r="V70" s="30" t="e">
        <f>#REF!</f>
        <v>#REF!</v>
      </c>
      <c r="W70" s="30" t="e">
        <f>#REF!</f>
        <v>#REF!</v>
      </c>
      <c r="X70" s="32">
        <f t="shared" si="24"/>
        <v>0</v>
      </c>
      <c r="Y70" s="32">
        <f t="shared" si="25"/>
        <v>0</v>
      </c>
      <c r="Z70" s="32">
        <f t="shared" si="26"/>
        <v>0</v>
      </c>
      <c r="AA70" s="32">
        <f t="shared" si="27"/>
        <v>1</v>
      </c>
      <c r="AB70" t="str">
        <f t="shared" si="28"/>
        <v>NT</v>
      </c>
      <c r="AC70">
        <v>10</v>
      </c>
      <c r="AD70" s="30" t="str">
        <f>Critères!$B70</f>
        <v>10.3</v>
      </c>
      <c r="AE70" s="30" t="str">
        <f>Critères!$A68</f>
        <v>PRÉSENTATION</v>
      </c>
      <c r="AF70" s="30" t="str">
        <f>'P01'!$E62</f>
        <v>N</v>
      </c>
      <c r="AG70" s="30" t="e">
        <f>#REF!</f>
        <v>#REF!</v>
      </c>
      <c r="AH70" s="30" t="e">
        <f>#REF!</f>
        <v>#REF!</v>
      </c>
      <c r="AI70" s="30" t="e">
        <f>#REF!</f>
        <v>#REF!</v>
      </c>
      <c r="AJ70" s="30" t="e">
        <f>#REF!</f>
        <v>#REF!</v>
      </c>
      <c r="AK70" s="30" t="e">
        <f>#REF!</f>
        <v>#REF!</v>
      </c>
      <c r="AL70" s="30" t="e">
        <f>#REF!</f>
        <v>#REF!</v>
      </c>
      <c r="AM70" s="30" t="e">
        <f>#REF!</f>
        <v>#REF!</v>
      </c>
      <c r="AN70" s="30" t="e">
        <f>#REF!</f>
        <v>#REF!</v>
      </c>
      <c r="AO70" s="30" t="e">
        <f>#REF!</f>
        <v>#REF!</v>
      </c>
      <c r="AP70" s="30" t="e">
        <f>#REF!</f>
        <v>#REF!</v>
      </c>
      <c r="AQ70" s="30" t="e">
        <f>#REF!</f>
        <v>#REF!</v>
      </c>
      <c r="AR70" s="30" t="e">
        <f>#REF!</f>
        <v>#REF!</v>
      </c>
      <c r="AS70" s="30" t="e">
        <f>#REF!</f>
        <v>#REF!</v>
      </c>
      <c r="AT70" s="30" t="e">
        <f>#REF!</f>
        <v>#REF!</v>
      </c>
      <c r="AU70" s="30" t="e">
        <f>#REF!</f>
        <v>#REF!</v>
      </c>
      <c r="AV70" s="30" t="e">
        <f>#REF!</f>
        <v>#REF!</v>
      </c>
      <c r="AW70" s="30" t="e">
        <f>#REF!</f>
        <v>#REF!</v>
      </c>
      <c r="AX70" s="30" t="e">
        <f>#REF!</f>
        <v>#REF!</v>
      </c>
      <c r="AY70" s="30" t="e">
        <f>#REF!</f>
        <v>#REF!</v>
      </c>
      <c r="AZ70" s="32">
        <f t="shared" si="29"/>
        <v>0</v>
      </c>
    </row>
    <row r="71" spans="1:52" ht="15.5">
      <c r="A71">
        <v>10</v>
      </c>
      <c r="B71" s="30" t="str">
        <f>Critères!$B71</f>
        <v>10.4</v>
      </c>
      <c r="C71" s="30" t="str">
        <f>Critères!$A68</f>
        <v>PRÉSENTATION</v>
      </c>
      <c r="D71" s="30" t="str">
        <f>'P01'!$D63</f>
        <v>NT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  <c r="N71" s="30" t="e">
        <f>#REF!</f>
        <v>#REF!</v>
      </c>
      <c r="O71" s="30" t="e">
        <f>#REF!</f>
        <v>#REF!</v>
      </c>
      <c r="P71" s="30" t="e">
        <f>#REF!</f>
        <v>#REF!</v>
      </c>
      <c r="Q71" s="30" t="e">
        <f>#REF!</f>
        <v>#REF!</v>
      </c>
      <c r="R71" s="30" t="e">
        <f>#REF!</f>
        <v>#REF!</v>
      </c>
      <c r="S71" s="30" t="e">
        <f>#REF!</f>
        <v>#REF!</v>
      </c>
      <c r="T71" s="30" t="e">
        <f>#REF!</f>
        <v>#REF!</v>
      </c>
      <c r="U71" s="30" t="e">
        <f>#REF!</f>
        <v>#REF!</v>
      </c>
      <c r="V71" s="30" t="e">
        <f>#REF!</f>
        <v>#REF!</v>
      </c>
      <c r="W71" s="30" t="e">
        <f>#REF!</f>
        <v>#REF!</v>
      </c>
      <c r="X71" s="32">
        <f t="shared" si="24"/>
        <v>0</v>
      </c>
      <c r="Y71" s="32">
        <f t="shared" si="25"/>
        <v>0</v>
      </c>
      <c r="Z71" s="32">
        <f t="shared" si="26"/>
        <v>0</v>
      </c>
      <c r="AA71" s="32">
        <f t="shared" si="27"/>
        <v>1</v>
      </c>
      <c r="AB71" t="str">
        <f t="shared" si="28"/>
        <v>NT</v>
      </c>
      <c r="AC71">
        <v>10</v>
      </c>
      <c r="AD71" s="30" t="str">
        <f>Critères!$B71</f>
        <v>10.4</v>
      </c>
      <c r="AE71" s="30" t="str">
        <f>Critères!$A68</f>
        <v>PRÉSENTATION</v>
      </c>
      <c r="AF71" s="30" t="str">
        <f>'P01'!$E63</f>
        <v>N</v>
      </c>
      <c r="AG71" s="30" t="e">
        <f>#REF!</f>
        <v>#REF!</v>
      </c>
      <c r="AH71" s="30" t="e">
        <f>#REF!</f>
        <v>#REF!</v>
      </c>
      <c r="AI71" s="30" t="e">
        <f>#REF!</f>
        <v>#REF!</v>
      </c>
      <c r="AJ71" s="30" t="e">
        <f>#REF!</f>
        <v>#REF!</v>
      </c>
      <c r="AK71" s="30" t="e">
        <f>#REF!</f>
        <v>#REF!</v>
      </c>
      <c r="AL71" s="30" t="e">
        <f>#REF!</f>
        <v>#REF!</v>
      </c>
      <c r="AM71" s="30" t="e">
        <f>#REF!</f>
        <v>#REF!</v>
      </c>
      <c r="AN71" s="30" t="e">
        <f>#REF!</f>
        <v>#REF!</v>
      </c>
      <c r="AO71" s="30" t="e">
        <f>#REF!</f>
        <v>#REF!</v>
      </c>
      <c r="AP71" s="30" t="e">
        <f>#REF!</f>
        <v>#REF!</v>
      </c>
      <c r="AQ71" s="30" t="e">
        <f>#REF!</f>
        <v>#REF!</v>
      </c>
      <c r="AR71" s="30" t="e">
        <f>#REF!</f>
        <v>#REF!</v>
      </c>
      <c r="AS71" s="30" t="e">
        <f>#REF!</f>
        <v>#REF!</v>
      </c>
      <c r="AT71" s="30" t="e">
        <f>#REF!</f>
        <v>#REF!</v>
      </c>
      <c r="AU71" s="30" t="e">
        <f>#REF!</f>
        <v>#REF!</v>
      </c>
      <c r="AV71" s="30" t="e">
        <f>#REF!</f>
        <v>#REF!</v>
      </c>
      <c r="AW71" s="30" t="e">
        <f>#REF!</f>
        <v>#REF!</v>
      </c>
      <c r="AX71" s="30" t="e">
        <f>#REF!</f>
        <v>#REF!</v>
      </c>
      <c r="AY71" s="30" t="e">
        <f>#REF!</f>
        <v>#REF!</v>
      </c>
      <c r="AZ71" s="32">
        <f t="shared" si="29"/>
        <v>0</v>
      </c>
    </row>
    <row r="72" spans="1:52" ht="15.5">
      <c r="A72">
        <v>10</v>
      </c>
      <c r="B72" s="30" t="str">
        <f>Critères!$B72</f>
        <v>10.5</v>
      </c>
      <c r="C72" s="30" t="str">
        <f>Critères!$A68</f>
        <v>PRÉSENTATION</v>
      </c>
      <c r="D72" s="30" t="str">
        <f>'P01'!$D64</f>
        <v>NT</v>
      </c>
      <c r="E72" s="30" t="e">
        <f>#REF!</f>
        <v>#REF!</v>
      </c>
      <c r="F72" s="30" t="e">
        <f>#REF!</f>
        <v>#REF!</v>
      </c>
      <c r="G72" s="30" t="e">
        <f>#REF!</f>
        <v>#REF!</v>
      </c>
      <c r="H72" s="30" t="e">
        <f>#REF!</f>
        <v>#REF!</v>
      </c>
      <c r="I72" s="30" t="e">
        <f>#REF!</f>
        <v>#REF!</v>
      </c>
      <c r="J72" s="30" t="e">
        <f>#REF!</f>
        <v>#REF!</v>
      </c>
      <c r="K72" s="30" t="e">
        <f>#REF!</f>
        <v>#REF!</v>
      </c>
      <c r="L72" s="30" t="e">
        <f>#REF!</f>
        <v>#REF!</v>
      </c>
      <c r="M72" s="30" t="e">
        <f>#REF!</f>
        <v>#REF!</v>
      </c>
      <c r="N72" s="30" t="e">
        <f>#REF!</f>
        <v>#REF!</v>
      </c>
      <c r="O72" s="30" t="e">
        <f>#REF!</f>
        <v>#REF!</v>
      </c>
      <c r="P72" s="30" t="e">
        <f>#REF!</f>
        <v>#REF!</v>
      </c>
      <c r="Q72" s="30" t="e">
        <f>#REF!</f>
        <v>#REF!</v>
      </c>
      <c r="R72" s="30" t="e">
        <f>#REF!</f>
        <v>#REF!</v>
      </c>
      <c r="S72" s="30" t="e">
        <f>#REF!</f>
        <v>#REF!</v>
      </c>
      <c r="T72" s="30" t="e">
        <f>#REF!</f>
        <v>#REF!</v>
      </c>
      <c r="U72" s="30" t="e">
        <f>#REF!</f>
        <v>#REF!</v>
      </c>
      <c r="V72" s="30" t="e">
        <f>#REF!</f>
        <v>#REF!</v>
      </c>
      <c r="W72" s="30" t="e">
        <f>#REF!</f>
        <v>#REF!</v>
      </c>
      <c r="X72" s="32">
        <f t="shared" si="24"/>
        <v>0</v>
      </c>
      <c r="Y72" s="32">
        <f t="shared" si="25"/>
        <v>0</v>
      </c>
      <c r="Z72" s="32">
        <f t="shared" si="26"/>
        <v>0</v>
      </c>
      <c r="AA72" s="32">
        <f t="shared" si="27"/>
        <v>1</v>
      </c>
      <c r="AB72" t="str">
        <f t="shared" si="28"/>
        <v>NT</v>
      </c>
      <c r="AC72">
        <v>10</v>
      </c>
      <c r="AD72" s="30" t="str">
        <f>Critères!$B72</f>
        <v>10.5</v>
      </c>
      <c r="AE72" s="30" t="str">
        <f>Critères!$A68</f>
        <v>PRÉSENTATION</v>
      </c>
      <c r="AF72" s="30" t="str">
        <f>'P01'!$E64</f>
        <v>N</v>
      </c>
      <c r="AG72" s="30" t="e">
        <f>#REF!</f>
        <v>#REF!</v>
      </c>
      <c r="AH72" s="30" t="e">
        <f>#REF!</f>
        <v>#REF!</v>
      </c>
      <c r="AI72" s="30" t="e">
        <f>#REF!</f>
        <v>#REF!</v>
      </c>
      <c r="AJ72" s="30" t="e">
        <f>#REF!</f>
        <v>#REF!</v>
      </c>
      <c r="AK72" s="30" t="e">
        <f>#REF!</f>
        <v>#REF!</v>
      </c>
      <c r="AL72" s="30" t="e">
        <f>#REF!</f>
        <v>#REF!</v>
      </c>
      <c r="AM72" s="30" t="e">
        <f>#REF!</f>
        <v>#REF!</v>
      </c>
      <c r="AN72" s="30" t="e">
        <f>#REF!</f>
        <v>#REF!</v>
      </c>
      <c r="AO72" s="30" t="e">
        <f>#REF!</f>
        <v>#REF!</v>
      </c>
      <c r="AP72" s="30" t="e">
        <f>#REF!</f>
        <v>#REF!</v>
      </c>
      <c r="AQ72" s="30" t="e">
        <f>#REF!</f>
        <v>#REF!</v>
      </c>
      <c r="AR72" s="30" t="e">
        <f>#REF!</f>
        <v>#REF!</v>
      </c>
      <c r="AS72" s="30" t="e">
        <f>#REF!</f>
        <v>#REF!</v>
      </c>
      <c r="AT72" s="30" t="e">
        <f>#REF!</f>
        <v>#REF!</v>
      </c>
      <c r="AU72" s="30" t="e">
        <f>#REF!</f>
        <v>#REF!</v>
      </c>
      <c r="AV72" s="30" t="e">
        <f>#REF!</f>
        <v>#REF!</v>
      </c>
      <c r="AW72" s="30" t="e">
        <f>#REF!</f>
        <v>#REF!</v>
      </c>
      <c r="AX72" s="30" t="e">
        <f>#REF!</f>
        <v>#REF!</v>
      </c>
      <c r="AY72" s="30" t="e">
        <f>#REF!</f>
        <v>#REF!</v>
      </c>
      <c r="AZ72" s="32">
        <f t="shared" si="29"/>
        <v>0</v>
      </c>
    </row>
    <row r="73" spans="1:52" ht="15.5">
      <c r="A73">
        <v>10</v>
      </c>
      <c r="B73" s="30" t="str">
        <f>Critères!$B73</f>
        <v>10.6</v>
      </c>
      <c r="C73" s="30" t="str">
        <f>Critères!$A68</f>
        <v>PRÉSENTATION</v>
      </c>
      <c r="D73" s="30" t="str">
        <f>'P01'!$D65</f>
        <v>NT</v>
      </c>
      <c r="E73" s="30" t="e">
        <f>#REF!</f>
        <v>#REF!</v>
      </c>
      <c r="F73" s="30" t="e">
        <f>#REF!</f>
        <v>#REF!</v>
      </c>
      <c r="G73" s="30" t="e">
        <f>#REF!</f>
        <v>#REF!</v>
      </c>
      <c r="H73" s="30" t="e">
        <f>#REF!</f>
        <v>#REF!</v>
      </c>
      <c r="I73" s="30" t="e">
        <f>#REF!</f>
        <v>#REF!</v>
      </c>
      <c r="J73" s="30" t="e">
        <f>#REF!</f>
        <v>#REF!</v>
      </c>
      <c r="K73" s="30" t="e">
        <f>#REF!</f>
        <v>#REF!</v>
      </c>
      <c r="L73" s="30" t="e">
        <f>#REF!</f>
        <v>#REF!</v>
      </c>
      <c r="M73" s="30" t="e">
        <f>#REF!</f>
        <v>#REF!</v>
      </c>
      <c r="N73" s="30" t="e">
        <f>#REF!</f>
        <v>#REF!</v>
      </c>
      <c r="O73" s="30" t="e">
        <f>#REF!</f>
        <v>#REF!</v>
      </c>
      <c r="P73" s="30" t="e">
        <f>#REF!</f>
        <v>#REF!</v>
      </c>
      <c r="Q73" s="30" t="e">
        <f>#REF!</f>
        <v>#REF!</v>
      </c>
      <c r="R73" s="30" t="e">
        <f>#REF!</f>
        <v>#REF!</v>
      </c>
      <c r="S73" s="30" t="e">
        <f>#REF!</f>
        <v>#REF!</v>
      </c>
      <c r="T73" s="30" t="e">
        <f>#REF!</f>
        <v>#REF!</v>
      </c>
      <c r="U73" s="30" t="e">
        <f>#REF!</f>
        <v>#REF!</v>
      </c>
      <c r="V73" s="30" t="e">
        <f>#REF!</f>
        <v>#REF!</v>
      </c>
      <c r="W73" s="30" t="e">
        <f>#REF!</f>
        <v>#REF!</v>
      </c>
      <c r="X73" s="32">
        <f t="shared" si="24"/>
        <v>0</v>
      </c>
      <c r="Y73" s="32">
        <f t="shared" si="25"/>
        <v>0</v>
      </c>
      <c r="Z73" s="32">
        <f t="shared" si="26"/>
        <v>0</v>
      </c>
      <c r="AA73" s="32">
        <f t="shared" si="27"/>
        <v>1</v>
      </c>
      <c r="AB73" t="str">
        <f t="shared" si="28"/>
        <v>NT</v>
      </c>
      <c r="AC73">
        <v>10</v>
      </c>
      <c r="AD73" s="30" t="str">
        <f>Critères!$B73</f>
        <v>10.6</v>
      </c>
      <c r="AE73" s="30" t="str">
        <f>Critères!$A68</f>
        <v>PRÉSENTATION</v>
      </c>
      <c r="AF73" s="30" t="str">
        <f>'P01'!$E65</f>
        <v>N</v>
      </c>
      <c r="AG73" s="30" t="e">
        <f>#REF!</f>
        <v>#REF!</v>
      </c>
      <c r="AH73" s="30" t="e">
        <f>#REF!</f>
        <v>#REF!</v>
      </c>
      <c r="AI73" s="30" t="e">
        <f>#REF!</f>
        <v>#REF!</v>
      </c>
      <c r="AJ73" s="30" t="e">
        <f>#REF!</f>
        <v>#REF!</v>
      </c>
      <c r="AK73" s="30" t="e">
        <f>#REF!</f>
        <v>#REF!</v>
      </c>
      <c r="AL73" s="30" t="e">
        <f>#REF!</f>
        <v>#REF!</v>
      </c>
      <c r="AM73" s="30" t="e">
        <f>#REF!</f>
        <v>#REF!</v>
      </c>
      <c r="AN73" s="30" t="e">
        <f>#REF!</f>
        <v>#REF!</v>
      </c>
      <c r="AO73" s="30" t="e">
        <f>#REF!</f>
        <v>#REF!</v>
      </c>
      <c r="AP73" s="30" t="e">
        <f>#REF!</f>
        <v>#REF!</v>
      </c>
      <c r="AQ73" s="30" t="e">
        <f>#REF!</f>
        <v>#REF!</v>
      </c>
      <c r="AR73" s="30" t="e">
        <f>#REF!</f>
        <v>#REF!</v>
      </c>
      <c r="AS73" s="30" t="e">
        <f>#REF!</f>
        <v>#REF!</v>
      </c>
      <c r="AT73" s="30" t="e">
        <f>#REF!</f>
        <v>#REF!</v>
      </c>
      <c r="AU73" s="30" t="e">
        <f>#REF!</f>
        <v>#REF!</v>
      </c>
      <c r="AV73" s="30" t="e">
        <f>#REF!</f>
        <v>#REF!</v>
      </c>
      <c r="AW73" s="30" t="e">
        <f>#REF!</f>
        <v>#REF!</v>
      </c>
      <c r="AX73" s="30" t="e">
        <f>#REF!</f>
        <v>#REF!</v>
      </c>
      <c r="AY73" s="30" t="e">
        <f>#REF!</f>
        <v>#REF!</v>
      </c>
      <c r="AZ73" s="32">
        <f t="shared" si="29"/>
        <v>0</v>
      </c>
    </row>
    <row r="74" spans="1:52" ht="15.5">
      <c r="A74">
        <v>10</v>
      </c>
      <c r="B74" s="30" t="str">
        <f>Critères!$B74</f>
        <v>10.7</v>
      </c>
      <c r="C74" s="30" t="str">
        <f>Critères!$A68</f>
        <v>PRÉSENTATION</v>
      </c>
      <c r="D74" s="30" t="str">
        <f>'P01'!$D66</f>
        <v>NT</v>
      </c>
      <c r="E74" s="30" t="e">
        <f>#REF!</f>
        <v>#REF!</v>
      </c>
      <c r="F74" s="30" t="e">
        <f>#REF!</f>
        <v>#REF!</v>
      </c>
      <c r="G74" s="30" t="e">
        <f>#REF!</f>
        <v>#REF!</v>
      </c>
      <c r="H74" s="30" t="e">
        <f>#REF!</f>
        <v>#REF!</v>
      </c>
      <c r="I74" s="30" t="e">
        <f>#REF!</f>
        <v>#REF!</v>
      </c>
      <c r="J74" s="30" t="e">
        <f>#REF!</f>
        <v>#REF!</v>
      </c>
      <c r="K74" s="30" t="e">
        <f>#REF!</f>
        <v>#REF!</v>
      </c>
      <c r="L74" s="30" t="e">
        <f>#REF!</f>
        <v>#REF!</v>
      </c>
      <c r="M74" s="30" t="e">
        <f>#REF!</f>
        <v>#REF!</v>
      </c>
      <c r="N74" s="30" t="e">
        <f>#REF!</f>
        <v>#REF!</v>
      </c>
      <c r="O74" s="30" t="e">
        <f>#REF!</f>
        <v>#REF!</v>
      </c>
      <c r="P74" s="30" t="e">
        <f>#REF!</f>
        <v>#REF!</v>
      </c>
      <c r="Q74" s="30" t="e">
        <f>#REF!</f>
        <v>#REF!</v>
      </c>
      <c r="R74" s="30" t="e">
        <f>#REF!</f>
        <v>#REF!</v>
      </c>
      <c r="S74" s="30" t="e">
        <f>#REF!</f>
        <v>#REF!</v>
      </c>
      <c r="T74" s="30" t="e">
        <f>#REF!</f>
        <v>#REF!</v>
      </c>
      <c r="U74" s="30" t="e">
        <f>#REF!</f>
        <v>#REF!</v>
      </c>
      <c r="V74" s="30" t="e">
        <f>#REF!</f>
        <v>#REF!</v>
      </c>
      <c r="W74" s="30" t="e">
        <f>#REF!</f>
        <v>#REF!</v>
      </c>
      <c r="X74" s="32">
        <f t="shared" si="24"/>
        <v>0</v>
      </c>
      <c r="Y74" s="32">
        <f t="shared" si="25"/>
        <v>0</v>
      </c>
      <c r="Z74" s="32">
        <f t="shared" si="26"/>
        <v>0</v>
      </c>
      <c r="AA74" s="32">
        <f t="shared" si="27"/>
        <v>1</v>
      </c>
      <c r="AB74" t="str">
        <f t="shared" si="28"/>
        <v>NT</v>
      </c>
      <c r="AC74">
        <v>10</v>
      </c>
      <c r="AD74" s="30" t="str">
        <f>Critères!$B74</f>
        <v>10.7</v>
      </c>
      <c r="AE74" s="30" t="str">
        <f>Critères!$A68</f>
        <v>PRÉSENTATION</v>
      </c>
      <c r="AF74" s="30" t="str">
        <f>'P01'!$E66</f>
        <v>N</v>
      </c>
      <c r="AG74" s="30" t="e">
        <f>#REF!</f>
        <v>#REF!</v>
      </c>
      <c r="AH74" s="30" t="e">
        <f>#REF!</f>
        <v>#REF!</v>
      </c>
      <c r="AI74" s="30" t="e">
        <f>#REF!</f>
        <v>#REF!</v>
      </c>
      <c r="AJ74" s="30" t="e">
        <f>#REF!</f>
        <v>#REF!</v>
      </c>
      <c r="AK74" s="30" t="e">
        <f>#REF!</f>
        <v>#REF!</v>
      </c>
      <c r="AL74" s="30" t="e">
        <f>#REF!</f>
        <v>#REF!</v>
      </c>
      <c r="AM74" s="30" t="e">
        <f>#REF!</f>
        <v>#REF!</v>
      </c>
      <c r="AN74" s="30" t="e">
        <f>#REF!</f>
        <v>#REF!</v>
      </c>
      <c r="AO74" s="30" t="e">
        <f>#REF!</f>
        <v>#REF!</v>
      </c>
      <c r="AP74" s="30" t="e">
        <f>#REF!</f>
        <v>#REF!</v>
      </c>
      <c r="AQ74" s="30" t="e">
        <f>#REF!</f>
        <v>#REF!</v>
      </c>
      <c r="AR74" s="30" t="e">
        <f>#REF!</f>
        <v>#REF!</v>
      </c>
      <c r="AS74" s="30" t="e">
        <f>#REF!</f>
        <v>#REF!</v>
      </c>
      <c r="AT74" s="30" t="e">
        <f>#REF!</f>
        <v>#REF!</v>
      </c>
      <c r="AU74" s="30" t="e">
        <f>#REF!</f>
        <v>#REF!</v>
      </c>
      <c r="AV74" s="30" t="e">
        <f>#REF!</f>
        <v>#REF!</v>
      </c>
      <c r="AW74" s="30" t="e">
        <f>#REF!</f>
        <v>#REF!</v>
      </c>
      <c r="AX74" s="30" t="e">
        <f>#REF!</f>
        <v>#REF!</v>
      </c>
      <c r="AY74" s="30" t="e">
        <f>#REF!</f>
        <v>#REF!</v>
      </c>
      <c r="AZ74" s="32">
        <f t="shared" si="29"/>
        <v>0</v>
      </c>
    </row>
    <row r="75" spans="1:52" ht="15.5">
      <c r="A75">
        <v>10</v>
      </c>
      <c r="B75" s="30" t="str">
        <f>Critères!$B75</f>
        <v>10.8</v>
      </c>
      <c r="C75" s="30" t="str">
        <f>Critères!$A68</f>
        <v>PRÉSENTATION</v>
      </c>
      <c r="D75" s="30" t="str">
        <f>'P01'!$D67</f>
        <v>NT</v>
      </c>
      <c r="E75" s="30" t="e">
        <f>#REF!</f>
        <v>#REF!</v>
      </c>
      <c r="F75" s="30" t="e">
        <f>#REF!</f>
        <v>#REF!</v>
      </c>
      <c r="G75" s="30" t="e">
        <f>#REF!</f>
        <v>#REF!</v>
      </c>
      <c r="H75" s="30" t="e">
        <f>#REF!</f>
        <v>#REF!</v>
      </c>
      <c r="I75" s="30" t="e">
        <f>#REF!</f>
        <v>#REF!</v>
      </c>
      <c r="J75" s="30" t="e">
        <f>#REF!</f>
        <v>#REF!</v>
      </c>
      <c r="K75" s="30" t="e">
        <f>#REF!</f>
        <v>#REF!</v>
      </c>
      <c r="L75" s="30" t="e">
        <f>#REF!</f>
        <v>#REF!</v>
      </c>
      <c r="M75" s="30" t="e">
        <f>#REF!</f>
        <v>#REF!</v>
      </c>
      <c r="N75" s="30" t="e">
        <f>#REF!</f>
        <v>#REF!</v>
      </c>
      <c r="O75" s="30" t="e">
        <f>#REF!</f>
        <v>#REF!</v>
      </c>
      <c r="P75" s="30" t="e">
        <f>#REF!</f>
        <v>#REF!</v>
      </c>
      <c r="Q75" s="30" t="e">
        <f>#REF!</f>
        <v>#REF!</v>
      </c>
      <c r="R75" s="30" t="e">
        <f>#REF!</f>
        <v>#REF!</v>
      </c>
      <c r="S75" s="30" t="e">
        <f>#REF!</f>
        <v>#REF!</v>
      </c>
      <c r="T75" s="30" t="e">
        <f>#REF!</f>
        <v>#REF!</v>
      </c>
      <c r="U75" s="30" t="e">
        <f>#REF!</f>
        <v>#REF!</v>
      </c>
      <c r="V75" s="30" t="e">
        <f>#REF!</f>
        <v>#REF!</v>
      </c>
      <c r="W75" s="30" t="e">
        <f>#REF!</f>
        <v>#REF!</v>
      </c>
      <c r="X75" s="32">
        <f t="shared" si="24"/>
        <v>0</v>
      </c>
      <c r="Y75" s="32">
        <f t="shared" si="25"/>
        <v>0</v>
      </c>
      <c r="Z75" s="32">
        <f t="shared" si="26"/>
        <v>0</v>
      </c>
      <c r="AA75" s="32">
        <f t="shared" si="27"/>
        <v>1</v>
      </c>
      <c r="AB75" t="str">
        <f t="shared" si="28"/>
        <v>NT</v>
      </c>
      <c r="AC75">
        <v>10</v>
      </c>
      <c r="AD75" s="30" t="str">
        <f>Critères!$B75</f>
        <v>10.8</v>
      </c>
      <c r="AE75" s="30" t="str">
        <f>Critères!$A68</f>
        <v>PRÉSENTATION</v>
      </c>
      <c r="AF75" s="30" t="str">
        <f>'P01'!$E67</f>
        <v>N</v>
      </c>
      <c r="AG75" s="30" t="e">
        <f>#REF!</f>
        <v>#REF!</v>
      </c>
      <c r="AH75" s="30" t="e">
        <f>#REF!</f>
        <v>#REF!</v>
      </c>
      <c r="AI75" s="30" t="e">
        <f>#REF!</f>
        <v>#REF!</v>
      </c>
      <c r="AJ75" s="30" t="e">
        <f>#REF!</f>
        <v>#REF!</v>
      </c>
      <c r="AK75" s="30" t="e">
        <f>#REF!</f>
        <v>#REF!</v>
      </c>
      <c r="AL75" s="30" t="e">
        <f>#REF!</f>
        <v>#REF!</v>
      </c>
      <c r="AM75" s="30" t="e">
        <f>#REF!</f>
        <v>#REF!</v>
      </c>
      <c r="AN75" s="30" t="e">
        <f>#REF!</f>
        <v>#REF!</v>
      </c>
      <c r="AO75" s="30" t="e">
        <f>#REF!</f>
        <v>#REF!</v>
      </c>
      <c r="AP75" s="30" t="e">
        <f>#REF!</f>
        <v>#REF!</v>
      </c>
      <c r="AQ75" s="30" t="e">
        <f>#REF!</f>
        <v>#REF!</v>
      </c>
      <c r="AR75" s="30" t="e">
        <f>#REF!</f>
        <v>#REF!</v>
      </c>
      <c r="AS75" s="30" t="e">
        <f>#REF!</f>
        <v>#REF!</v>
      </c>
      <c r="AT75" s="30" t="e">
        <f>#REF!</f>
        <v>#REF!</v>
      </c>
      <c r="AU75" s="30" t="e">
        <f>#REF!</f>
        <v>#REF!</v>
      </c>
      <c r="AV75" s="30" t="e">
        <f>#REF!</f>
        <v>#REF!</v>
      </c>
      <c r="AW75" s="30" t="e">
        <f>#REF!</f>
        <v>#REF!</v>
      </c>
      <c r="AX75" s="30" t="e">
        <f>#REF!</f>
        <v>#REF!</v>
      </c>
      <c r="AY75" s="30" t="e">
        <f>#REF!</f>
        <v>#REF!</v>
      </c>
      <c r="AZ75" s="32">
        <f t="shared" si="29"/>
        <v>0</v>
      </c>
    </row>
    <row r="76" spans="1:52" ht="15.5">
      <c r="A76">
        <v>10</v>
      </c>
      <c r="B76" s="30" t="str">
        <f>Critères!$B76</f>
        <v>10.9</v>
      </c>
      <c r="C76" s="30" t="str">
        <f>Critères!$A68</f>
        <v>PRÉSENTATION</v>
      </c>
      <c r="D76" s="30" t="str">
        <f>'P01'!$D68</f>
        <v>NT</v>
      </c>
      <c r="E76" s="30" t="e">
        <f>#REF!</f>
        <v>#REF!</v>
      </c>
      <c r="F76" s="30" t="e">
        <f>#REF!</f>
        <v>#REF!</v>
      </c>
      <c r="G76" s="30" t="e">
        <f>#REF!</f>
        <v>#REF!</v>
      </c>
      <c r="H76" s="30" t="e">
        <f>#REF!</f>
        <v>#REF!</v>
      </c>
      <c r="I76" s="30" t="e">
        <f>#REF!</f>
        <v>#REF!</v>
      </c>
      <c r="J76" s="30" t="e">
        <f>#REF!</f>
        <v>#REF!</v>
      </c>
      <c r="K76" s="30" t="e">
        <f>#REF!</f>
        <v>#REF!</v>
      </c>
      <c r="L76" s="30" t="e">
        <f>#REF!</f>
        <v>#REF!</v>
      </c>
      <c r="M76" s="30" t="e">
        <f>#REF!</f>
        <v>#REF!</v>
      </c>
      <c r="N76" s="30" t="e">
        <f>#REF!</f>
        <v>#REF!</v>
      </c>
      <c r="O76" s="30" t="e">
        <f>#REF!</f>
        <v>#REF!</v>
      </c>
      <c r="P76" s="30" t="e">
        <f>#REF!</f>
        <v>#REF!</v>
      </c>
      <c r="Q76" s="30" t="e">
        <f>#REF!</f>
        <v>#REF!</v>
      </c>
      <c r="R76" s="30" t="e">
        <f>#REF!</f>
        <v>#REF!</v>
      </c>
      <c r="S76" s="30" t="e">
        <f>#REF!</f>
        <v>#REF!</v>
      </c>
      <c r="T76" s="30" t="e">
        <f>#REF!</f>
        <v>#REF!</v>
      </c>
      <c r="U76" s="30" t="e">
        <f>#REF!</f>
        <v>#REF!</v>
      </c>
      <c r="V76" s="30" t="e">
        <f>#REF!</f>
        <v>#REF!</v>
      </c>
      <c r="W76" s="30" t="e">
        <f>#REF!</f>
        <v>#REF!</v>
      </c>
      <c r="X76" s="32">
        <f t="shared" si="24"/>
        <v>0</v>
      </c>
      <c r="Y76" s="32">
        <f t="shared" si="25"/>
        <v>0</v>
      </c>
      <c r="Z76" s="32">
        <f t="shared" si="26"/>
        <v>0</v>
      </c>
      <c r="AA76" s="32">
        <f t="shared" si="27"/>
        <v>1</v>
      </c>
      <c r="AB76" t="str">
        <f t="shared" si="28"/>
        <v>NT</v>
      </c>
      <c r="AC76">
        <v>10</v>
      </c>
      <c r="AD76" s="30" t="str">
        <f>Critères!$B76</f>
        <v>10.9</v>
      </c>
      <c r="AE76" s="30" t="str">
        <f>Critères!$A68</f>
        <v>PRÉSENTATION</v>
      </c>
      <c r="AF76" s="30" t="str">
        <f>'P01'!$E68</f>
        <v>N</v>
      </c>
      <c r="AG76" s="30" t="e">
        <f>#REF!</f>
        <v>#REF!</v>
      </c>
      <c r="AH76" s="30" t="e">
        <f>#REF!</f>
        <v>#REF!</v>
      </c>
      <c r="AI76" s="30" t="e">
        <f>#REF!</f>
        <v>#REF!</v>
      </c>
      <c r="AJ76" s="30" t="e">
        <f>#REF!</f>
        <v>#REF!</v>
      </c>
      <c r="AK76" s="30" t="e">
        <f>#REF!</f>
        <v>#REF!</v>
      </c>
      <c r="AL76" s="30" t="e">
        <f>#REF!</f>
        <v>#REF!</v>
      </c>
      <c r="AM76" s="30" t="e">
        <f>#REF!</f>
        <v>#REF!</v>
      </c>
      <c r="AN76" s="30" t="e">
        <f>#REF!</f>
        <v>#REF!</v>
      </c>
      <c r="AO76" s="30" t="e">
        <f>#REF!</f>
        <v>#REF!</v>
      </c>
      <c r="AP76" s="30" t="e">
        <f>#REF!</f>
        <v>#REF!</v>
      </c>
      <c r="AQ76" s="30" t="e">
        <f>#REF!</f>
        <v>#REF!</v>
      </c>
      <c r="AR76" s="30" t="e">
        <f>#REF!</f>
        <v>#REF!</v>
      </c>
      <c r="AS76" s="30" t="e">
        <f>#REF!</f>
        <v>#REF!</v>
      </c>
      <c r="AT76" s="30" t="e">
        <f>#REF!</f>
        <v>#REF!</v>
      </c>
      <c r="AU76" s="30" t="e">
        <f>#REF!</f>
        <v>#REF!</v>
      </c>
      <c r="AV76" s="30" t="e">
        <f>#REF!</f>
        <v>#REF!</v>
      </c>
      <c r="AW76" s="30" t="e">
        <f>#REF!</f>
        <v>#REF!</v>
      </c>
      <c r="AX76" s="30" t="e">
        <f>#REF!</f>
        <v>#REF!</v>
      </c>
      <c r="AY76" s="30" t="e">
        <f>#REF!</f>
        <v>#REF!</v>
      </c>
      <c r="AZ76" s="32">
        <f t="shared" si="29"/>
        <v>0</v>
      </c>
    </row>
    <row r="77" spans="1:52" ht="15.5">
      <c r="A77">
        <v>10</v>
      </c>
      <c r="B77" s="30" t="str">
        <f>Critères!$B77</f>
        <v>10.10</v>
      </c>
      <c r="C77" s="30" t="str">
        <f>Critères!$A68</f>
        <v>PRÉSENTATION</v>
      </c>
      <c r="D77" s="30" t="str">
        <f>'P01'!$D69</f>
        <v>NT</v>
      </c>
      <c r="E77" s="30" t="e">
        <f>#REF!</f>
        <v>#REF!</v>
      </c>
      <c r="F77" s="30" t="e">
        <f>#REF!</f>
        <v>#REF!</v>
      </c>
      <c r="G77" s="30" t="e">
        <f>#REF!</f>
        <v>#REF!</v>
      </c>
      <c r="H77" s="30" t="e">
        <f>#REF!</f>
        <v>#REF!</v>
      </c>
      <c r="I77" s="30" t="e">
        <f>#REF!</f>
        <v>#REF!</v>
      </c>
      <c r="J77" s="30" t="e">
        <f>#REF!</f>
        <v>#REF!</v>
      </c>
      <c r="K77" s="30" t="e">
        <f>#REF!</f>
        <v>#REF!</v>
      </c>
      <c r="L77" s="30" t="e">
        <f>#REF!</f>
        <v>#REF!</v>
      </c>
      <c r="M77" s="30" t="e">
        <f>#REF!</f>
        <v>#REF!</v>
      </c>
      <c r="N77" s="30" t="e">
        <f>#REF!</f>
        <v>#REF!</v>
      </c>
      <c r="O77" s="30" t="e">
        <f>#REF!</f>
        <v>#REF!</v>
      </c>
      <c r="P77" s="30" t="e">
        <f>#REF!</f>
        <v>#REF!</v>
      </c>
      <c r="Q77" s="30" t="e">
        <f>#REF!</f>
        <v>#REF!</v>
      </c>
      <c r="R77" s="30" t="e">
        <f>#REF!</f>
        <v>#REF!</v>
      </c>
      <c r="S77" s="30" t="e">
        <f>#REF!</f>
        <v>#REF!</v>
      </c>
      <c r="T77" s="30" t="e">
        <f>#REF!</f>
        <v>#REF!</v>
      </c>
      <c r="U77" s="30" t="e">
        <f>#REF!</f>
        <v>#REF!</v>
      </c>
      <c r="V77" s="30" t="e">
        <f>#REF!</f>
        <v>#REF!</v>
      </c>
      <c r="W77" s="30" t="e">
        <f>#REF!</f>
        <v>#REF!</v>
      </c>
      <c r="X77" s="32">
        <f t="shared" si="24"/>
        <v>0</v>
      </c>
      <c r="Y77" s="32">
        <f t="shared" si="25"/>
        <v>0</v>
      </c>
      <c r="Z77" s="32">
        <f t="shared" si="26"/>
        <v>0</v>
      </c>
      <c r="AA77" s="32">
        <f t="shared" si="27"/>
        <v>1</v>
      </c>
      <c r="AB77" t="str">
        <f t="shared" si="28"/>
        <v>NT</v>
      </c>
      <c r="AC77">
        <v>10</v>
      </c>
      <c r="AD77" s="30" t="str">
        <f>Critères!$B77</f>
        <v>10.10</v>
      </c>
      <c r="AE77" s="30" t="str">
        <f>Critères!$A68</f>
        <v>PRÉSENTATION</v>
      </c>
      <c r="AF77" s="30" t="str">
        <f>'P01'!$E69</f>
        <v>N</v>
      </c>
      <c r="AG77" s="30" t="e">
        <f>#REF!</f>
        <v>#REF!</v>
      </c>
      <c r="AH77" s="30" t="e">
        <f>#REF!</f>
        <v>#REF!</v>
      </c>
      <c r="AI77" s="30" t="e">
        <f>#REF!</f>
        <v>#REF!</v>
      </c>
      <c r="AJ77" s="30" t="e">
        <f>#REF!</f>
        <v>#REF!</v>
      </c>
      <c r="AK77" s="30" t="e">
        <f>#REF!</f>
        <v>#REF!</v>
      </c>
      <c r="AL77" s="30" t="e">
        <f>#REF!</f>
        <v>#REF!</v>
      </c>
      <c r="AM77" s="30" t="e">
        <f>#REF!</f>
        <v>#REF!</v>
      </c>
      <c r="AN77" s="30" t="e">
        <f>#REF!</f>
        <v>#REF!</v>
      </c>
      <c r="AO77" s="30" t="e">
        <f>#REF!</f>
        <v>#REF!</v>
      </c>
      <c r="AP77" s="30" t="e">
        <f>#REF!</f>
        <v>#REF!</v>
      </c>
      <c r="AQ77" s="30" t="e">
        <f>#REF!</f>
        <v>#REF!</v>
      </c>
      <c r="AR77" s="30" t="e">
        <f>#REF!</f>
        <v>#REF!</v>
      </c>
      <c r="AS77" s="30" t="e">
        <f>#REF!</f>
        <v>#REF!</v>
      </c>
      <c r="AT77" s="30" t="e">
        <f>#REF!</f>
        <v>#REF!</v>
      </c>
      <c r="AU77" s="30" t="e">
        <f>#REF!</f>
        <v>#REF!</v>
      </c>
      <c r="AV77" s="30" t="e">
        <f>#REF!</f>
        <v>#REF!</v>
      </c>
      <c r="AW77" s="30" t="e">
        <f>#REF!</f>
        <v>#REF!</v>
      </c>
      <c r="AX77" s="30" t="e">
        <f>#REF!</f>
        <v>#REF!</v>
      </c>
      <c r="AY77" s="30" t="e">
        <f>#REF!</f>
        <v>#REF!</v>
      </c>
      <c r="AZ77" s="32">
        <f t="shared" si="29"/>
        <v>0</v>
      </c>
    </row>
    <row r="78" spans="1:52" ht="15.5">
      <c r="A78">
        <v>10</v>
      </c>
      <c r="B78" s="30" t="str">
        <f>Critères!$B78</f>
        <v>10.11</v>
      </c>
      <c r="C78" s="30" t="str">
        <f>Critères!$A68</f>
        <v>PRÉSENTATION</v>
      </c>
      <c r="D78" s="30" t="str">
        <f>'P01'!$D70</f>
        <v>NT</v>
      </c>
      <c r="E78" s="30" t="e">
        <f>#REF!</f>
        <v>#REF!</v>
      </c>
      <c r="F78" s="30" t="e">
        <f>#REF!</f>
        <v>#REF!</v>
      </c>
      <c r="G78" s="30" t="e">
        <f>#REF!</f>
        <v>#REF!</v>
      </c>
      <c r="H78" s="30" t="e">
        <f>#REF!</f>
        <v>#REF!</v>
      </c>
      <c r="I78" s="30" t="e">
        <f>#REF!</f>
        <v>#REF!</v>
      </c>
      <c r="J78" s="30" t="e">
        <f>#REF!</f>
        <v>#REF!</v>
      </c>
      <c r="K78" s="30" t="e">
        <f>#REF!</f>
        <v>#REF!</v>
      </c>
      <c r="L78" s="30" t="e">
        <f>#REF!</f>
        <v>#REF!</v>
      </c>
      <c r="M78" s="30" t="e">
        <f>#REF!</f>
        <v>#REF!</v>
      </c>
      <c r="N78" s="30" t="e">
        <f>#REF!</f>
        <v>#REF!</v>
      </c>
      <c r="O78" s="30" t="e">
        <f>#REF!</f>
        <v>#REF!</v>
      </c>
      <c r="P78" s="30" t="e">
        <f>#REF!</f>
        <v>#REF!</v>
      </c>
      <c r="Q78" s="30" t="e">
        <f>#REF!</f>
        <v>#REF!</v>
      </c>
      <c r="R78" s="30" t="e">
        <f>#REF!</f>
        <v>#REF!</v>
      </c>
      <c r="S78" s="30" t="e">
        <f>#REF!</f>
        <v>#REF!</v>
      </c>
      <c r="T78" s="30" t="e">
        <f>#REF!</f>
        <v>#REF!</v>
      </c>
      <c r="U78" s="30" t="e">
        <f>#REF!</f>
        <v>#REF!</v>
      </c>
      <c r="V78" s="30" t="e">
        <f>#REF!</f>
        <v>#REF!</v>
      </c>
      <c r="W78" s="30" t="e">
        <f>#REF!</f>
        <v>#REF!</v>
      </c>
      <c r="X78" s="32">
        <f t="shared" si="24"/>
        <v>0</v>
      </c>
      <c r="Y78" s="32">
        <f t="shared" si="25"/>
        <v>0</v>
      </c>
      <c r="Z78" s="32">
        <f t="shared" si="26"/>
        <v>0</v>
      </c>
      <c r="AA78" s="32">
        <f t="shared" si="27"/>
        <v>1</v>
      </c>
      <c r="AB78" t="str">
        <f t="shared" si="28"/>
        <v>NT</v>
      </c>
      <c r="AC78">
        <v>10</v>
      </c>
      <c r="AD78" s="30" t="str">
        <f>Critères!$B78</f>
        <v>10.11</v>
      </c>
      <c r="AE78" s="30" t="str">
        <f>Critères!$A68</f>
        <v>PRÉSENTATION</v>
      </c>
      <c r="AF78" s="30" t="str">
        <f>'P01'!$E70</f>
        <v>N</v>
      </c>
      <c r="AG78" s="30" t="e">
        <f>#REF!</f>
        <v>#REF!</v>
      </c>
      <c r="AH78" s="30" t="e">
        <f>#REF!</f>
        <v>#REF!</v>
      </c>
      <c r="AI78" s="30" t="e">
        <f>#REF!</f>
        <v>#REF!</v>
      </c>
      <c r="AJ78" s="30" t="e">
        <f>#REF!</f>
        <v>#REF!</v>
      </c>
      <c r="AK78" s="30" t="e">
        <f>#REF!</f>
        <v>#REF!</v>
      </c>
      <c r="AL78" s="30" t="e">
        <f>#REF!</f>
        <v>#REF!</v>
      </c>
      <c r="AM78" s="30" t="e">
        <f>#REF!</f>
        <v>#REF!</v>
      </c>
      <c r="AN78" s="30" t="e">
        <f>#REF!</f>
        <v>#REF!</v>
      </c>
      <c r="AO78" s="30" t="e">
        <f>#REF!</f>
        <v>#REF!</v>
      </c>
      <c r="AP78" s="30" t="e">
        <f>#REF!</f>
        <v>#REF!</v>
      </c>
      <c r="AQ78" s="30" t="e">
        <f>#REF!</f>
        <v>#REF!</v>
      </c>
      <c r="AR78" s="30" t="e">
        <f>#REF!</f>
        <v>#REF!</v>
      </c>
      <c r="AS78" s="30" t="e">
        <f>#REF!</f>
        <v>#REF!</v>
      </c>
      <c r="AT78" s="30" t="e">
        <f>#REF!</f>
        <v>#REF!</v>
      </c>
      <c r="AU78" s="30" t="e">
        <f>#REF!</f>
        <v>#REF!</v>
      </c>
      <c r="AV78" s="30" t="e">
        <f>#REF!</f>
        <v>#REF!</v>
      </c>
      <c r="AW78" s="30" t="e">
        <f>#REF!</f>
        <v>#REF!</v>
      </c>
      <c r="AX78" s="30" t="e">
        <f>#REF!</f>
        <v>#REF!</v>
      </c>
      <c r="AY78" s="30" t="e">
        <f>#REF!</f>
        <v>#REF!</v>
      </c>
      <c r="AZ78" s="32">
        <f t="shared" si="29"/>
        <v>0</v>
      </c>
    </row>
    <row r="79" spans="1:52" ht="15.5">
      <c r="A79">
        <v>10</v>
      </c>
      <c r="B79" s="30" t="str">
        <f>Critères!$B79</f>
        <v>10.12</v>
      </c>
      <c r="C79" s="30" t="str">
        <f>Critères!$A68</f>
        <v>PRÉSENTATION</v>
      </c>
      <c r="D79" s="30" t="str">
        <f>'P01'!$D71</f>
        <v>NT</v>
      </c>
      <c r="E79" s="30" t="e">
        <f>#REF!</f>
        <v>#REF!</v>
      </c>
      <c r="F79" s="30" t="e">
        <f>#REF!</f>
        <v>#REF!</v>
      </c>
      <c r="G79" s="30" t="e">
        <f>#REF!</f>
        <v>#REF!</v>
      </c>
      <c r="H79" s="30" t="e">
        <f>#REF!</f>
        <v>#REF!</v>
      </c>
      <c r="I79" s="30" t="e">
        <f>#REF!</f>
        <v>#REF!</v>
      </c>
      <c r="J79" s="30" t="e">
        <f>#REF!</f>
        <v>#REF!</v>
      </c>
      <c r="K79" s="30" t="e">
        <f>#REF!</f>
        <v>#REF!</v>
      </c>
      <c r="L79" s="30" t="e">
        <f>#REF!</f>
        <v>#REF!</v>
      </c>
      <c r="M79" s="30" t="e">
        <f>#REF!</f>
        <v>#REF!</v>
      </c>
      <c r="N79" s="30" t="e">
        <f>#REF!</f>
        <v>#REF!</v>
      </c>
      <c r="O79" s="30" t="e">
        <f>#REF!</f>
        <v>#REF!</v>
      </c>
      <c r="P79" s="30" t="e">
        <f>#REF!</f>
        <v>#REF!</v>
      </c>
      <c r="Q79" s="30" t="e">
        <f>#REF!</f>
        <v>#REF!</v>
      </c>
      <c r="R79" s="30" t="e">
        <f>#REF!</f>
        <v>#REF!</v>
      </c>
      <c r="S79" s="30" t="e">
        <f>#REF!</f>
        <v>#REF!</v>
      </c>
      <c r="T79" s="30" t="e">
        <f>#REF!</f>
        <v>#REF!</v>
      </c>
      <c r="U79" s="30" t="e">
        <f>#REF!</f>
        <v>#REF!</v>
      </c>
      <c r="V79" s="30" t="e">
        <f>#REF!</f>
        <v>#REF!</v>
      </c>
      <c r="W79" s="30" t="e">
        <f>#REF!</f>
        <v>#REF!</v>
      </c>
      <c r="X79" s="32">
        <f t="shared" si="24"/>
        <v>0</v>
      </c>
      <c r="Y79" s="32">
        <f t="shared" si="25"/>
        <v>0</v>
      </c>
      <c r="Z79" s="32">
        <f t="shared" si="26"/>
        <v>0</v>
      </c>
      <c r="AA79" s="32">
        <f t="shared" si="27"/>
        <v>1</v>
      </c>
      <c r="AB79" t="str">
        <f t="shared" si="28"/>
        <v>NT</v>
      </c>
      <c r="AC79">
        <v>10</v>
      </c>
      <c r="AD79" s="30" t="str">
        <f>Critères!$B79</f>
        <v>10.12</v>
      </c>
      <c r="AE79" s="30" t="str">
        <f>Critères!$A68</f>
        <v>PRÉSENTATION</v>
      </c>
      <c r="AF79" s="30" t="str">
        <f>'P01'!$E71</f>
        <v>N</v>
      </c>
      <c r="AG79" s="30" t="e">
        <f>#REF!</f>
        <v>#REF!</v>
      </c>
      <c r="AH79" s="30" t="e">
        <f>#REF!</f>
        <v>#REF!</v>
      </c>
      <c r="AI79" s="30" t="e">
        <f>#REF!</f>
        <v>#REF!</v>
      </c>
      <c r="AJ79" s="30" t="e">
        <f>#REF!</f>
        <v>#REF!</v>
      </c>
      <c r="AK79" s="30" t="e">
        <f>#REF!</f>
        <v>#REF!</v>
      </c>
      <c r="AL79" s="30" t="e">
        <f>#REF!</f>
        <v>#REF!</v>
      </c>
      <c r="AM79" s="30" t="e">
        <f>#REF!</f>
        <v>#REF!</v>
      </c>
      <c r="AN79" s="30" t="e">
        <f>#REF!</f>
        <v>#REF!</v>
      </c>
      <c r="AO79" s="30" t="e">
        <f>#REF!</f>
        <v>#REF!</v>
      </c>
      <c r="AP79" s="30" t="e">
        <f>#REF!</f>
        <v>#REF!</v>
      </c>
      <c r="AQ79" s="30" t="e">
        <f>#REF!</f>
        <v>#REF!</v>
      </c>
      <c r="AR79" s="30" t="e">
        <f>#REF!</f>
        <v>#REF!</v>
      </c>
      <c r="AS79" s="30" t="e">
        <f>#REF!</f>
        <v>#REF!</v>
      </c>
      <c r="AT79" s="30" t="e">
        <f>#REF!</f>
        <v>#REF!</v>
      </c>
      <c r="AU79" s="30" t="e">
        <f>#REF!</f>
        <v>#REF!</v>
      </c>
      <c r="AV79" s="30" t="e">
        <f>#REF!</f>
        <v>#REF!</v>
      </c>
      <c r="AW79" s="30" t="e">
        <f>#REF!</f>
        <v>#REF!</v>
      </c>
      <c r="AX79" s="30" t="e">
        <f>#REF!</f>
        <v>#REF!</v>
      </c>
      <c r="AY79" s="30" t="e">
        <f>#REF!</f>
        <v>#REF!</v>
      </c>
      <c r="AZ79" s="32">
        <f t="shared" si="29"/>
        <v>0</v>
      </c>
    </row>
    <row r="80" spans="1:52" ht="15.5">
      <c r="A80">
        <v>10</v>
      </c>
      <c r="B80" s="30" t="str">
        <f>Critères!$B80</f>
        <v>10.13</v>
      </c>
      <c r="C80" s="30" t="str">
        <f>Critères!$A68</f>
        <v>PRÉSENTATION</v>
      </c>
      <c r="D80" s="30" t="str">
        <f>'P01'!$D72</f>
        <v>NT</v>
      </c>
      <c r="E80" s="30" t="e">
        <f>#REF!</f>
        <v>#REF!</v>
      </c>
      <c r="F80" s="30" t="e">
        <f>#REF!</f>
        <v>#REF!</v>
      </c>
      <c r="G80" s="30" t="e">
        <f>#REF!</f>
        <v>#REF!</v>
      </c>
      <c r="H80" s="30" t="e">
        <f>#REF!</f>
        <v>#REF!</v>
      </c>
      <c r="I80" s="30" t="e">
        <f>#REF!</f>
        <v>#REF!</v>
      </c>
      <c r="J80" s="30" t="e">
        <f>#REF!</f>
        <v>#REF!</v>
      </c>
      <c r="K80" s="30" t="e">
        <f>#REF!</f>
        <v>#REF!</v>
      </c>
      <c r="L80" s="30" t="e">
        <f>#REF!</f>
        <v>#REF!</v>
      </c>
      <c r="M80" s="30" t="e">
        <f>#REF!</f>
        <v>#REF!</v>
      </c>
      <c r="N80" s="30" t="e">
        <f>#REF!</f>
        <v>#REF!</v>
      </c>
      <c r="O80" s="30" t="e">
        <f>#REF!</f>
        <v>#REF!</v>
      </c>
      <c r="P80" s="30" t="e">
        <f>#REF!</f>
        <v>#REF!</v>
      </c>
      <c r="Q80" s="30" t="e">
        <f>#REF!</f>
        <v>#REF!</v>
      </c>
      <c r="R80" s="30" t="e">
        <f>#REF!</f>
        <v>#REF!</v>
      </c>
      <c r="S80" s="30" t="e">
        <f>#REF!</f>
        <v>#REF!</v>
      </c>
      <c r="T80" s="30" t="e">
        <f>#REF!</f>
        <v>#REF!</v>
      </c>
      <c r="U80" s="30" t="e">
        <f>#REF!</f>
        <v>#REF!</v>
      </c>
      <c r="V80" s="30" t="e">
        <f>#REF!</f>
        <v>#REF!</v>
      </c>
      <c r="W80" s="30" t="e">
        <f>#REF!</f>
        <v>#REF!</v>
      </c>
      <c r="X80" s="32">
        <f t="shared" si="24"/>
        <v>0</v>
      </c>
      <c r="Y80" s="32">
        <f t="shared" si="25"/>
        <v>0</v>
      </c>
      <c r="Z80" s="32">
        <f t="shared" si="26"/>
        <v>0</v>
      </c>
      <c r="AA80" s="32">
        <f t="shared" si="27"/>
        <v>1</v>
      </c>
      <c r="AB80" t="str">
        <f t="shared" si="28"/>
        <v>NT</v>
      </c>
      <c r="AC80">
        <v>10</v>
      </c>
      <c r="AD80" s="30" t="str">
        <f>Critères!$B80</f>
        <v>10.13</v>
      </c>
      <c r="AE80" s="30" t="str">
        <f>Critères!$A68</f>
        <v>PRÉSENTATION</v>
      </c>
      <c r="AF80" s="30" t="str">
        <f>'P01'!$E72</f>
        <v>N</v>
      </c>
      <c r="AG80" s="30" t="e">
        <f>#REF!</f>
        <v>#REF!</v>
      </c>
      <c r="AH80" s="30" t="e">
        <f>#REF!</f>
        <v>#REF!</v>
      </c>
      <c r="AI80" s="30" t="e">
        <f>#REF!</f>
        <v>#REF!</v>
      </c>
      <c r="AJ80" s="30" t="e">
        <f>#REF!</f>
        <v>#REF!</v>
      </c>
      <c r="AK80" s="30" t="e">
        <f>#REF!</f>
        <v>#REF!</v>
      </c>
      <c r="AL80" s="30" t="e">
        <f>#REF!</f>
        <v>#REF!</v>
      </c>
      <c r="AM80" s="30" t="e">
        <f>#REF!</f>
        <v>#REF!</v>
      </c>
      <c r="AN80" s="30" t="e">
        <f>#REF!</f>
        <v>#REF!</v>
      </c>
      <c r="AO80" s="30" t="e">
        <f>#REF!</f>
        <v>#REF!</v>
      </c>
      <c r="AP80" s="30" t="e">
        <f>#REF!</f>
        <v>#REF!</v>
      </c>
      <c r="AQ80" s="30" t="e">
        <f>#REF!</f>
        <v>#REF!</v>
      </c>
      <c r="AR80" s="30" t="e">
        <f>#REF!</f>
        <v>#REF!</v>
      </c>
      <c r="AS80" s="30" t="e">
        <f>#REF!</f>
        <v>#REF!</v>
      </c>
      <c r="AT80" s="30" t="e">
        <f>#REF!</f>
        <v>#REF!</v>
      </c>
      <c r="AU80" s="30" t="e">
        <f>#REF!</f>
        <v>#REF!</v>
      </c>
      <c r="AV80" s="30" t="e">
        <f>#REF!</f>
        <v>#REF!</v>
      </c>
      <c r="AW80" s="30" t="e">
        <f>#REF!</f>
        <v>#REF!</v>
      </c>
      <c r="AX80" s="30" t="e">
        <f>#REF!</f>
        <v>#REF!</v>
      </c>
      <c r="AY80" s="30" t="e">
        <f>#REF!</f>
        <v>#REF!</v>
      </c>
      <c r="AZ80" s="32">
        <f t="shared" si="29"/>
        <v>0</v>
      </c>
    </row>
    <row r="81" spans="1:52" ht="15.5">
      <c r="A81">
        <v>10</v>
      </c>
      <c r="B81" s="30" t="str">
        <f>Critères!$B81</f>
        <v>10.14</v>
      </c>
      <c r="C81" s="30" t="str">
        <f>Critères!$A68</f>
        <v>PRÉSENTATION</v>
      </c>
      <c r="D81" s="30" t="str">
        <f>'P01'!$D73</f>
        <v>NT</v>
      </c>
      <c r="E81" s="30" t="e">
        <f>#REF!</f>
        <v>#REF!</v>
      </c>
      <c r="F81" s="30" t="e">
        <f>#REF!</f>
        <v>#REF!</v>
      </c>
      <c r="G81" s="30" t="e">
        <f>#REF!</f>
        <v>#REF!</v>
      </c>
      <c r="H81" s="30" t="e">
        <f>#REF!</f>
        <v>#REF!</v>
      </c>
      <c r="I81" s="30" t="e">
        <f>#REF!</f>
        <v>#REF!</v>
      </c>
      <c r="J81" s="30" t="e">
        <f>#REF!</f>
        <v>#REF!</v>
      </c>
      <c r="K81" s="30" t="e">
        <f>#REF!</f>
        <v>#REF!</v>
      </c>
      <c r="L81" s="30" t="e">
        <f>#REF!</f>
        <v>#REF!</v>
      </c>
      <c r="M81" s="30" t="e">
        <f>#REF!</f>
        <v>#REF!</v>
      </c>
      <c r="N81" s="30" t="e">
        <f>#REF!</f>
        <v>#REF!</v>
      </c>
      <c r="O81" s="30" t="e">
        <f>#REF!</f>
        <v>#REF!</v>
      </c>
      <c r="P81" s="30" t="e">
        <f>#REF!</f>
        <v>#REF!</v>
      </c>
      <c r="Q81" s="30" t="e">
        <f>#REF!</f>
        <v>#REF!</v>
      </c>
      <c r="R81" s="30" t="e">
        <f>#REF!</f>
        <v>#REF!</v>
      </c>
      <c r="S81" s="30" t="e">
        <f>#REF!</f>
        <v>#REF!</v>
      </c>
      <c r="T81" s="30" t="e">
        <f>#REF!</f>
        <v>#REF!</v>
      </c>
      <c r="U81" s="30" t="e">
        <f>#REF!</f>
        <v>#REF!</v>
      </c>
      <c r="V81" s="30" t="e">
        <f>#REF!</f>
        <v>#REF!</v>
      </c>
      <c r="W81" s="30" t="e">
        <f>#REF!</f>
        <v>#REF!</v>
      </c>
      <c r="X81" s="32">
        <f t="shared" si="24"/>
        <v>0</v>
      </c>
      <c r="Y81" s="32">
        <f t="shared" si="25"/>
        <v>0</v>
      </c>
      <c r="Z81" s="32">
        <f t="shared" si="26"/>
        <v>0</v>
      </c>
      <c r="AA81" s="32">
        <f t="shared" si="27"/>
        <v>1</v>
      </c>
      <c r="AB81" t="str">
        <f t="shared" si="28"/>
        <v>NT</v>
      </c>
      <c r="AC81">
        <v>10</v>
      </c>
      <c r="AD81" s="30" t="str">
        <f>Critères!$B81</f>
        <v>10.14</v>
      </c>
      <c r="AE81" s="30" t="str">
        <f>Critères!$A68</f>
        <v>PRÉSENTATION</v>
      </c>
      <c r="AF81" s="30" t="str">
        <f>'P01'!$E73</f>
        <v>N</v>
      </c>
      <c r="AG81" s="30" t="e">
        <f>#REF!</f>
        <v>#REF!</v>
      </c>
      <c r="AH81" s="30" t="e">
        <f>#REF!</f>
        <v>#REF!</v>
      </c>
      <c r="AI81" s="30" t="e">
        <f>#REF!</f>
        <v>#REF!</v>
      </c>
      <c r="AJ81" s="30" t="e">
        <f>#REF!</f>
        <v>#REF!</v>
      </c>
      <c r="AK81" s="30" t="e">
        <f>#REF!</f>
        <v>#REF!</v>
      </c>
      <c r="AL81" s="30" t="e">
        <f>#REF!</f>
        <v>#REF!</v>
      </c>
      <c r="AM81" s="30" t="e">
        <f>#REF!</f>
        <v>#REF!</v>
      </c>
      <c r="AN81" s="30" t="e">
        <f>#REF!</f>
        <v>#REF!</v>
      </c>
      <c r="AO81" s="30" t="e">
        <f>#REF!</f>
        <v>#REF!</v>
      </c>
      <c r="AP81" s="30" t="e">
        <f>#REF!</f>
        <v>#REF!</v>
      </c>
      <c r="AQ81" s="30" t="e">
        <f>#REF!</f>
        <v>#REF!</v>
      </c>
      <c r="AR81" s="30" t="e">
        <f>#REF!</f>
        <v>#REF!</v>
      </c>
      <c r="AS81" s="30" t="e">
        <f>#REF!</f>
        <v>#REF!</v>
      </c>
      <c r="AT81" s="30" t="e">
        <f>#REF!</f>
        <v>#REF!</v>
      </c>
      <c r="AU81" s="30" t="e">
        <f>#REF!</f>
        <v>#REF!</v>
      </c>
      <c r="AV81" s="30" t="e">
        <f>#REF!</f>
        <v>#REF!</v>
      </c>
      <c r="AW81" s="30" t="e">
        <f>#REF!</f>
        <v>#REF!</v>
      </c>
      <c r="AX81" s="30" t="e">
        <f>#REF!</f>
        <v>#REF!</v>
      </c>
      <c r="AY81" s="30" t="e">
        <f>#REF!</f>
        <v>#REF!</v>
      </c>
      <c r="AZ81" s="32">
        <f t="shared" si="29"/>
        <v>0</v>
      </c>
    </row>
    <row r="82" spans="1:52" ht="15.5">
      <c r="A82" s="3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6">
        <f>SUM(X68:X81)</f>
        <v>0</v>
      </c>
      <c r="Y82" s="36">
        <f>SUM(Y68:Y81)</f>
        <v>0</v>
      </c>
      <c r="Z82" s="36">
        <f>SUM(Z68:Z81)</f>
        <v>0</v>
      </c>
      <c r="AA82" s="36">
        <f>SUM(AA68:AA81)</f>
        <v>14</v>
      </c>
      <c r="AC82" s="3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6">
        <f>SUM(AZ68:AZ81)</f>
        <v>0</v>
      </c>
    </row>
    <row r="83" spans="1:52" ht="15.5">
      <c r="A83">
        <v>11</v>
      </c>
      <c r="B83" s="30" t="str">
        <f>Critères!$B83</f>
        <v>11.1</v>
      </c>
      <c r="C83" s="30" t="str">
        <f>Critères!$A83</f>
        <v>FORMULAIRES</v>
      </c>
      <c r="D83" s="30" t="str">
        <f>'P01'!$D74</f>
        <v>NT</v>
      </c>
      <c r="E83" s="30" t="e">
        <f>#REF!</f>
        <v>#REF!</v>
      </c>
      <c r="F83" s="30" t="e">
        <f>#REF!</f>
        <v>#REF!</v>
      </c>
      <c r="G83" s="30" t="e">
        <f>#REF!</f>
        <v>#REF!</v>
      </c>
      <c r="H83" s="30" t="e">
        <f>#REF!</f>
        <v>#REF!</v>
      </c>
      <c r="I83" s="30" t="e">
        <f>#REF!</f>
        <v>#REF!</v>
      </c>
      <c r="J83" s="30" t="e">
        <f>#REF!</f>
        <v>#REF!</v>
      </c>
      <c r="K83" s="30" t="e">
        <f>#REF!</f>
        <v>#REF!</v>
      </c>
      <c r="L83" s="30" t="e">
        <f>#REF!</f>
        <v>#REF!</v>
      </c>
      <c r="M83" s="30" t="e">
        <f>#REF!</f>
        <v>#REF!</v>
      </c>
      <c r="N83" s="30" t="e">
        <f>#REF!</f>
        <v>#REF!</v>
      </c>
      <c r="O83" s="30" t="e">
        <f>#REF!</f>
        <v>#REF!</v>
      </c>
      <c r="P83" s="30" t="e">
        <f>#REF!</f>
        <v>#REF!</v>
      </c>
      <c r="Q83" s="30" t="e">
        <f>#REF!</f>
        <v>#REF!</v>
      </c>
      <c r="R83" s="30" t="e">
        <f>#REF!</f>
        <v>#REF!</v>
      </c>
      <c r="S83" s="30" t="e">
        <f>#REF!</f>
        <v>#REF!</v>
      </c>
      <c r="T83" s="30" t="e">
        <f>#REF!</f>
        <v>#REF!</v>
      </c>
      <c r="U83" s="30" t="e">
        <f>#REF!</f>
        <v>#REF!</v>
      </c>
      <c r="V83" s="30" t="e">
        <f>#REF!</f>
        <v>#REF!</v>
      </c>
      <c r="W83" s="30" t="e">
        <f>#REF!</f>
        <v>#REF!</v>
      </c>
      <c r="X83" s="32">
        <f t="shared" ref="X83:X95" si="30">COUNTIF(D83:W83,"C")</f>
        <v>0</v>
      </c>
      <c r="Y83" s="32">
        <f t="shared" ref="Y83:Y95" si="31">COUNTIF(D83:W83,"NC")</f>
        <v>0</v>
      </c>
      <c r="Z83" s="32">
        <f t="shared" ref="Z83:Z95" si="32">COUNTIF(D83:W83,"NA")</f>
        <v>0</v>
      </c>
      <c r="AA83" s="32">
        <f t="shared" ref="AA83:AA95" si="33">COUNTIF(D83:W83,"NT")</f>
        <v>1</v>
      </c>
      <c r="AB83" t="str">
        <f t="shared" ref="AB83:AB95" si="34">IF(Y83&gt;0,"NC",IF(X83&gt;0,"C",IF(AA83&gt;0,"NT","NA")))</f>
        <v>NT</v>
      </c>
      <c r="AC83">
        <v>11</v>
      </c>
      <c r="AD83" s="30" t="str">
        <f>Critères!$B83</f>
        <v>11.1</v>
      </c>
      <c r="AE83" s="30" t="str">
        <f>Critères!$A83</f>
        <v>FORMULAIRES</v>
      </c>
      <c r="AF83" s="30" t="str">
        <f>'P01'!$E74</f>
        <v>N</v>
      </c>
      <c r="AG83" s="30" t="e">
        <f>#REF!</f>
        <v>#REF!</v>
      </c>
      <c r="AH83" s="30" t="e">
        <f>#REF!</f>
        <v>#REF!</v>
      </c>
      <c r="AI83" s="30" t="e">
        <f>#REF!</f>
        <v>#REF!</v>
      </c>
      <c r="AJ83" s="30" t="e">
        <f>#REF!</f>
        <v>#REF!</v>
      </c>
      <c r="AK83" s="30" t="e">
        <f>#REF!</f>
        <v>#REF!</v>
      </c>
      <c r="AL83" s="30" t="e">
        <f>#REF!</f>
        <v>#REF!</v>
      </c>
      <c r="AM83" s="30" t="e">
        <f>#REF!</f>
        <v>#REF!</v>
      </c>
      <c r="AN83" s="30" t="e">
        <f>#REF!</f>
        <v>#REF!</v>
      </c>
      <c r="AO83" s="30" t="e">
        <f>#REF!</f>
        <v>#REF!</v>
      </c>
      <c r="AP83" s="30" t="e">
        <f>#REF!</f>
        <v>#REF!</v>
      </c>
      <c r="AQ83" s="30" t="e">
        <f>#REF!</f>
        <v>#REF!</v>
      </c>
      <c r="AR83" s="30" t="e">
        <f>#REF!</f>
        <v>#REF!</v>
      </c>
      <c r="AS83" s="30" t="e">
        <f>#REF!</f>
        <v>#REF!</v>
      </c>
      <c r="AT83" s="30" t="e">
        <f>#REF!</f>
        <v>#REF!</v>
      </c>
      <c r="AU83" s="30" t="e">
        <f>#REF!</f>
        <v>#REF!</v>
      </c>
      <c r="AV83" s="30" t="e">
        <f>#REF!</f>
        <v>#REF!</v>
      </c>
      <c r="AW83" s="30" t="e">
        <f>#REF!</f>
        <v>#REF!</v>
      </c>
      <c r="AX83" s="30" t="e">
        <f>#REF!</f>
        <v>#REF!</v>
      </c>
      <c r="AY83" s="30" t="e">
        <f>#REF!</f>
        <v>#REF!</v>
      </c>
      <c r="AZ83" s="32">
        <f t="shared" ref="AZ83:AZ95" si="35">COUNTIF(AF83:AY83,"D")</f>
        <v>0</v>
      </c>
    </row>
    <row r="84" spans="1:52" ht="15.5">
      <c r="A84">
        <v>11</v>
      </c>
      <c r="B84" s="30" t="str">
        <f>Critères!$B84</f>
        <v>11.2</v>
      </c>
      <c r="C84" s="30" t="str">
        <f>Critères!$A83</f>
        <v>FORMULAIRES</v>
      </c>
      <c r="D84" s="30" t="str">
        <f>'P01'!$D75</f>
        <v>NT</v>
      </c>
      <c r="E84" s="30" t="e">
        <f>#REF!</f>
        <v>#REF!</v>
      </c>
      <c r="F84" s="30" t="e">
        <f>#REF!</f>
        <v>#REF!</v>
      </c>
      <c r="G84" s="30" t="e">
        <f>#REF!</f>
        <v>#REF!</v>
      </c>
      <c r="H84" s="30" t="e">
        <f>#REF!</f>
        <v>#REF!</v>
      </c>
      <c r="I84" s="30" t="e">
        <f>#REF!</f>
        <v>#REF!</v>
      </c>
      <c r="J84" s="30" t="e">
        <f>#REF!</f>
        <v>#REF!</v>
      </c>
      <c r="K84" s="30" t="e">
        <f>#REF!</f>
        <v>#REF!</v>
      </c>
      <c r="L84" s="30" t="e">
        <f>#REF!</f>
        <v>#REF!</v>
      </c>
      <c r="M84" s="30" t="e">
        <f>#REF!</f>
        <v>#REF!</v>
      </c>
      <c r="N84" s="30" t="e">
        <f>#REF!</f>
        <v>#REF!</v>
      </c>
      <c r="O84" s="30" t="e">
        <f>#REF!</f>
        <v>#REF!</v>
      </c>
      <c r="P84" s="30" t="e">
        <f>#REF!</f>
        <v>#REF!</v>
      </c>
      <c r="Q84" s="30" t="e">
        <f>#REF!</f>
        <v>#REF!</v>
      </c>
      <c r="R84" s="30" t="e">
        <f>#REF!</f>
        <v>#REF!</v>
      </c>
      <c r="S84" s="30" t="e">
        <f>#REF!</f>
        <v>#REF!</v>
      </c>
      <c r="T84" s="30" t="e">
        <f>#REF!</f>
        <v>#REF!</v>
      </c>
      <c r="U84" s="30" t="e">
        <f>#REF!</f>
        <v>#REF!</v>
      </c>
      <c r="V84" s="30" t="e">
        <f>#REF!</f>
        <v>#REF!</v>
      </c>
      <c r="W84" s="30" t="e">
        <f>#REF!</f>
        <v>#REF!</v>
      </c>
      <c r="X84" s="32">
        <f t="shared" si="30"/>
        <v>0</v>
      </c>
      <c r="Y84" s="32">
        <f t="shared" si="31"/>
        <v>0</v>
      </c>
      <c r="Z84" s="32">
        <f t="shared" si="32"/>
        <v>0</v>
      </c>
      <c r="AA84" s="32">
        <f t="shared" si="33"/>
        <v>1</v>
      </c>
      <c r="AB84" t="str">
        <f t="shared" si="34"/>
        <v>NT</v>
      </c>
      <c r="AC84">
        <v>11</v>
      </c>
      <c r="AD84" s="30" t="str">
        <f>Critères!$B84</f>
        <v>11.2</v>
      </c>
      <c r="AE84" s="30" t="str">
        <f>Critères!$A83</f>
        <v>FORMULAIRES</v>
      </c>
      <c r="AF84" s="30" t="str">
        <f>'P01'!$E75</f>
        <v>N</v>
      </c>
      <c r="AG84" s="30" t="e">
        <f>#REF!</f>
        <v>#REF!</v>
      </c>
      <c r="AH84" s="30" t="e">
        <f>#REF!</f>
        <v>#REF!</v>
      </c>
      <c r="AI84" s="30" t="e">
        <f>#REF!</f>
        <v>#REF!</v>
      </c>
      <c r="AJ84" s="30" t="e">
        <f>#REF!</f>
        <v>#REF!</v>
      </c>
      <c r="AK84" s="30" t="e">
        <f>#REF!</f>
        <v>#REF!</v>
      </c>
      <c r="AL84" s="30" t="e">
        <f>#REF!</f>
        <v>#REF!</v>
      </c>
      <c r="AM84" s="30" t="e">
        <f>#REF!</f>
        <v>#REF!</v>
      </c>
      <c r="AN84" s="30" t="e">
        <f>#REF!</f>
        <v>#REF!</v>
      </c>
      <c r="AO84" s="30" t="e">
        <f>#REF!</f>
        <v>#REF!</v>
      </c>
      <c r="AP84" s="30" t="e">
        <f>#REF!</f>
        <v>#REF!</v>
      </c>
      <c r="AQ84" s="30" t="e">
        <f>#REF!</f>
        <v>#REF!</v>
      </c>
      <c r="AR84" s="30" t="e">
        <f>#REF!</f>
        <v>#REF!</v>
      </c>
      <c r="AS84" s="30" t="e">
        <f>#REF!</f>
        <v>#REF!</v>
      </c>
      <c r="AT84" s="30" t="e">
        <f>#REF!</f>
        <v>#REF!</v>
      </c>
      <c r="AU84" s="30" t="e">
        <f>#REF!</f>
        <v>#REF!</v>
      </c>
      <c r="AV84" s="30" t="e">
        <f>#REF!</f>
        <v>#REF!</v>
      </c>
      <c r="AW84" s="30" t="e">
        <f>#REF!</f>
        <v>#REF!</v>
      </c>
      <c r="AX84" s="30" t="e">
        <f>#REF!</f>
        <v>#REF!</v>
      </c>
      <c r="AY84" s="30" t="e">
        <f>#REF!</f>
        <v>#REF!</v>
      </c>
      <c r="AZ84" s="32">
        <f t="shared" si="35"/>
        <v>0</v>
      </c>
    </row>
    <row r="85" spans="1:52" ht="15.5">
      <c r="A85">
        <v>11</v>
      </c>
      <c r="B85" s="30" t="str">
        <f>Critères!$B85</f>
        <v>11.3</v>
      </c>
      <c r="C85" s="30" t="str">
        <f>Critères!$A83</f>
        <v>FORMULAIRES</v>
      </c>
      <c r="D85" s="30" t="str">
        <f>'P01'!$D76</f>
        <v>NT</v>
      </c>
      <c r="E85" s="30" t="e">
        <f>#REF!</f>
        <v>#REF!</v>
      </c>
      <c r="F85" s="30" t="e">
        <f>#REF!</f>
        <v>#REF!</v>
      </c>
      <c r="G85" s="30" t="e">
        <f>#REF!</f>
        <v>#REF!</v>
      </c>
      <c r="H85" s="30" t="e">
        <f>#REF!</f>
        <v>#REF!</v>
      </c>
      <c r="I85" s="30" t="e">
        <f>#REF!</f>
        <v>#REF!</v>
      </c>
      <c r="J85" s="30" t="e">
        <f>#REF!</f>
        <v>#REF!</v>
      </c>
      <c r="K85" s="30" t="e">
        <f>#REF!</f>
        <v>#REF!</v>
      </c>
      <c r="L85" s="30" t="e">
        <f>#REF!</f>
        <v>#REF!</v>
      </c>
      <c r="M85" s="30" t="e">
        <f>#REF!</f>
        <v>#REF!</v>
      </c>
      <c r="N85" s="30" t="e">
        <f>#REF!</f>
        <v>#REF!</v>
      </c>
      <c r="O85" s="30" t="e">
        <f>#REF!</f>
        <v>#REF!</v>
      </c>
      <c r="P85" s="30" t="e">
        <f>#REF!</f>
        <v>#REF!</v>
      </c>
      <c r="Q85" s="30" t="e">
        <f>#REF!</f>
        <v>#REF!</v>
      </c>
      <c r="R85" s="30" t="e">
        <f>#REF!</f>
        <v>#REF!</v>
      </c>
      <c r="S85" s="30" t="e">
        <f>#REF!</f>
        <v>#REF!</v>
      </c>
      <c r="T85" s="30" t="e">
        <f>#REF!</f>
        <v>#REF!</v>
      </c>
      <c r="U85" s="30" t="e">
        <f>#REF!</f>
        <v>#REF!</v>
      </c>
      <c r="V85" s="30" t="e">
        <f>#REF!</f>
        <v>#REF!</v>
      </c>
      <c r="W85" s="30" t="e">
        <f>#REF!</f>
        <v>#REF!</v>
      </c>
      <c r="X85" s="32">
        <f t="shared" si="30"/>
        <v>0</v>
      </c>
      <c r="Y85" s="32">
        <f t="shared" si="31"/>
        <v>0</v>
      </c>
      <c r="Z85" s="32">
        <f t="shared" si="32"/>
        <v>0</v>
      </c>
      <c r="AA85" s="32">
        <f t="shared" si="33"/>
        <v>1</v>
      </c>
      <c r="AB85" t="str">
        <f t="shared" si="34"/>
        <v>NT</v>
      </c>
      <c r="AC85">
        <v>11</v>
      </c>
      <c r="AD85" s="30" t="str">
        <f>Critères!$B85</f>
        <v>11.3</v>
      </c>
      <c r="AE85" s="30" t="str">
        <f>Critères!$A83</f>
        <v>FORMULAIRES</v>
      </c>
      <c r="AF85" s="30" t="str">
        <f>'P01'!$E76</f>
        <v>N</v>
      </c>
      <c r="AG85" s="30" t="e">
        <f>#REF!</f>
        <v>#REF!</v>
      </c>
      <c r="AH85" s="30" t="e">
        <f>#REF!</f>
        <v>#REF!</v>
      </c>
      <c r="AI85" s="30" t="e">
        <f>#REF!</f>
        <v>#REF!</v>
      </c>
      <c r="AJ85" s="30" t="e">
        <f>#REF!</f>
        <v>#REF!</v>
      </c>
      <c r="AK85" s="30" t="e">
        <f>#REF!</f>
        <v>#REF!</v>
      </c>
      <c r="AL85" s="30" t="e">
        <f>#REF!</f>
        <v>#REF!</v>
      </c>
      <c r="AM85" s="30" t="e">
        <f>#REF!</f>
        <v>#REF!</v>
      </c>
      <c r="AN85" s="30" t="e">
        <f>#REF!</f>
        <v>#REF!</v>
      </c>
      <c r="AO85" s="30" t="e">
        <f>#REF!</f>
        <v>#REF!</v>
      </c>
      <c r="AP85" s="30" t="e">
        <f>#REF!</f>
        <v>#REF!</v>
      </c>
      <c r="AQ85" s="30" t="e">
        <f>#REF!</f>
        <v>#REF!</v>
      </c>
      <c r="AR85" s="30" t="e">
        <f>#REF!</f>
        <v>#REF!</v>
      </c>
      <c r="AS85" s="30" t="e">
        <f>#REF!</f>
        <v>#REF!</v>
      </c>
      <c r="AT85" s="30" t="e">
        <f>#REF!</f>
        <v>#REF!</v>
      </c>
      <c r="AU85" s="30" t="e">
        <f>#REF!</f>
        <v>#REF!</v>
      </c>
      <c r="AV85" s="30" t="e">
        <f>#REF!</f>
        <v>#REF!</v>
      </c>
      <c r="AW85" s="30" t="e">
        <f>#REF!</f>
        <v>#REF!</v>
      </c>
      <c r="AX85" s="30" t="e">
        <f>#REF!</f>
        <v>#REF!</v>
      </c>
      <c r="AY85" s="30" t="e">
        <f>#REF!</f>
        <v>#REF!</v>
      </c>
      <c r="AZ85" s="32">
        <f t="shared" si="35"/>
        <v>0</v>
      </c>
    </row>
    <row r="86" spans="1:52" ht="15.5">
      <c r="A86">
        <v>11</v>
      </c>
      <c r="B86" s="30" t="str">
        <f>Critères!$B86</f>
        <v>11.4</v>
      </c>
      <c r="C86" s="30" t="str">
        <f>Critères!$A83</f>
        <v>FORMULAIRES</v>
      </c>
      <c r="D86" s="30" t="str">
        <f>'P01'!$D77</f>
        <v>NT</v>
      </c>
      <c r="E86" s="30" t="e">
        <f>#REF!</f>
        <v>#REF!</v>
      </c>
      <c r="F86" s="30" t="e">
        <f>#REF!</f>
        <v>#REF!</v>
      </c>
      <c r="G86" s="30" t="e">
        <f>#REF!</f>
        <v>#REF!</v>
      </c>
      <c r="H86" s="30" t="e">
        <f>#REF!</f>
        <v>#REF!</v>
      </c>
      <c r="I86" s="30" t="e">
        <f>#REF!</f>
        <v>#REF!</v>
      </c>
      <c r="J86" s="30" t="e">
        <f>#REF!</f>
        <v>#REF!</v>
      </c>
      <c r="K86" s="30" t="e">
        <f>#REF!</f>
        <v>#REF!</v>
      </c>
      <c r="L86" s="30" t="e">
        <f>#REF!</f>
        <v>#REF!</v>
      </c>
      <c r="M86" s="30" t="e">
        <f>#REF!</f>
        <v>#REF!</v>
      </c>
      <c r="N86" s="30" t="e">
        <f>#REF!</f>
        <v>#REF!</v>
      </c>
      <c r="O86" s="30" t="e">
        <f>#REF!</f>
        <v>#REF!</v>
      </c>
      <c r="P86" s="30" t="e">
        <f>#REF!</f>
        <v>#REF!</v>
      </c>
      <c r="Q86" s="30" t="e">
        <f>#REF!</f>
        <v>#REF!</v>
      </c>
      <c r="R86" s="30" t="e">
        <f>#REF!</f>
        <v>#REF!</v>
      </c>
      <c r="S86" s="30" t="e">
        <f>#REF!</f>
        <v>#REF!</v>
      </c>
      <c r="T86" s="30" t="e">
        <f>#REF!</f>
        <v>#REF!</v>
      </c>
      <c r="U86" s="30" t="e">
        <f>#REF!</f>
        <v>#REF!</v>
      </c>
      <c r="V86" s="30" t="e">
        <f>#REF!</f>
        <v>#REF!</v>
      </c>
      <c r="W86" s="30" t="e">
        <f>#REF!</f>
        <v>#REF!</v>
      </c>
      <c r="X86" s="32">
        <f t="shared" si="30"/>
        <v>0</v>
      </c>
      <c r="Y86" s="32">
        <f t="shared" si="31"/>
        <v>0</v>
      </c>
      <c r="Z86" s="32">
        <f t="shared" si="32"/>
        <v>0</v>
      </c>
      <c r="AA86" s="32">
        <f t="shared" si="33"/>
        <v>1</v>
      </c>
      <c r="AB86" t="str">
        <f t="shared" si="34"/>
        <v>NT</v>
      </c>
      <c r="AC86">
        <v>11</v>
      </c>
      <c r="AD86" s="30" t="str">
        <f>Critères!$B86</f>
        <v>11.4</v>
      </c>
      <c r="AE86" s="30" t="str">
        <f>Critères!$A83</f>
        <v>FORMULAIRES</v>
      </c>
      <c r="AF86" s="30" t="str">
        <f>'P01'!$E77</f>
        <v>N</v>
      </c>
      <c r="AG86" s="30" t="e">
        <f>#REF!</f>
        <v>#REF!</v>
      </c>
      <c r="AH86" s="30" t="e">
        <f>#REF!</f>
        <v>#REF!</v>
      </c>
      <c r="AI86" s="30" t="e">
        <f>#REF!</f>
        <v>#REF!</v>
      </c>
      <c r="AJ86" s="30" t="e">
        <f>#REF!</f>
        <v>#REF!</v>
      </c>
      <c r="AK86" s="30" t="e">
        <f>#REF!</f>
        <v>#REF!</v>
      </c>
      <c r="AL86" s="30" t="e">
        <f>#REF!</f>
        <v>#REF!</v>
      </c>
      <c r="AM86" s="30" t="e">
        <f>#REF!</f>
        <v>#REF!</v>
      </c>
      <c r="AN86" s="30" t="e">
        <f>#REF!</f>
        <v>#REF!</v>
      </c>
      <c r="AO86" s="30" t="e">
        <f>#REF!</f>
        <v>#REF!</v>
      </c>
      <c r="AP86" s="30" t="e">
        <f>#REF!</f>
        <v>#REF!</v>
      </c>
      <c r="AQ86" s="30" t="e">
        <f>#REF!</f>
        <v>#REF!</v>
      </c>
      <c r="AR86" s="30" t="e">
        <f>#REF!</f>
        <v>#REF!</v>
      </c>
      <c r="AS86" s="30" t="e">
        <f>#REF!</f>
        <v>#REF!</v>
      </c>
      <c r="AT86" s="30" t="e">
        <f>#REF!</f>
        <v>#REF!</v>
      </c>
      <c r="AU86" s="30" t="e">
        <f>#REF!</f>
        <v>#REF!</v>
      </c>
      <c r="AV86" s="30" t="e">
        <f>#REF!</f>
        <v>#REF!</v>
      </c>
      <c r="AW86" s="30" t="e">
        <f>#REF!</f>
        <v>#REF!</v>
      </c>
      <c r="AX86" s="30" t="e">
        <f>#REF!</f>
        <v>#REF!</v>
      </c>
      <c r="AY86" s="30" t="e">
        <f>#REF!</f>
        <v>#REF!</v>
      </c>
      <c r="AZ86" s="32">
        <f t="shared" si="35"/>
        <v>0</v>
      </c>
    </row>
    <row r="87" spans="1:52" ht="15.5">
      <c r="A87">
        <v>11</v>
      </c>
      <c r="B87" s="30" t="str">
        <f>Critères!$B87</f>
        <v>11.5</v>
      </c>
      <c r="C87" s="30" t="str">
        <f>Critères!$A83</f>
        <v>FORMULAIRES</v>
      </c>
      <c r="D87" s="30" t="str">
        <f>'P01'!$D78</f>
        <v>NT</v>
      </c>
      <c r="E87" s="30" t="e">
        <f>#REF!</f>
        <v>#REF!</v>
      </c>
      <c r="F87" s="30" t="e">
        <f>#REF!</f>
        <v>#REF!</v>
      </c>
      <c r="G87" s="30" t="e">
        <f>#REF!</f>
        <v>#REF!</v>
      </c>
      <c r="H87" s="30" t="e">
        <f>#REF!</f>
        <v>#REF!</v>
      </c>
      <c r="I87" s="30" t="e">
        <f>#REF!</f>
        <v>#REF!</v>
      </c>
      <c r="J87" s="30" t="e">
        <f>#REF!</f>
        <v>#REF!</v>
      </c>
      <c r="K87" s="30" t="e">
        <f>#REF!</f>
        <v>#REF!</v>
      </c>
      <c r="L87" s="30" t="e">
        <f>#REF!</f>
        <v>#REF!</v>
      </c>
      <c r="M87" s="30" t="e">
        <f>#REF!</f>
        <v>#REF!</v>
      </c>
      <c r="N87" s="30" t="e">
        <f>#REF!</f>
        <v>#REF!</v>
      </c>
      <c r="O87" s="30" t="e">
        <f>#REF!</f>
        <v>#REF!</v>
      </c>
      <c r="P87" s="30" t="e">
        <f>#REF!</f>
        <v>#REF!</v>
      </c>
      <c r="Q87" s="30" t="e">
        <f>#REF!</f>
        <v>#REF!</v>
      </c>
      <c r="R87" s="30" t="e">
        <f>#REF!</f>
        <v>#REF!</v>
      </c>
      <c r="S87" s="30" t="e">
        <f>#REF!</f>
        <v>#REF!</v>
      </c>
      <c r="T87" s="30" t="e">
        <f>#REF!</f>
        <v>#REF!</v>
      </c>
      <c r="U87" s="30" t="e">
        <f>#REF!</f>
        <v>#REF!</v>
      </c>
      <c r="V87" s="30" t="e">
        <f>#REF!</f>
        <v>#REF!</v>
      </c>
      <c r="W87" s="30" t="e">
        <f>#REF!</f>
        <v>#REF!</v>
      </c>
      <c r="X87" s="32">
        <f t="shared" si="30"/>
        <v>0</v>
      </c>
      <c r="Y87" s="32">
        <f t="shared" si="31"/>
        <v>0</v>
      </c>
      <c r="Z87" s="32">
        <f t="shared" si="32"/>
        <v>0</v>
      </c>
      <c r="AA87" s="32">
        <f t="shared" si="33"/>
        <v>1</v>
      </c>
      <c r="AB87" t="str">
        <f t="shared" si="34"/>
        <v>NT</v>
      </c>
      <c r="AC87">
        <v>11</v>
      </c>
      <c r="AD87" s="30" t="str">
        <f>Critères!$B87</f>
        <v>11.5</v>
      </c>
      <c r="AE87" s="30" t="str">
        <f>Critères!$A83</f>
        <v>FORMULAIRES</v>
      </c>
      <c r="AF87" s="30" t="str">
        <f>'P01'!$E78</f>
        <v>N</v>
      </c>
      <c r="AG87" s="30" t="e">
        <f>#REF!</f>
        <v>#REF!</v>
      </c>
      <c r="AH87" s="30" t="e">
        <f>#REF!</f>
        <v>#REF!</v>
      </c>
      <c r="AI87" s="30" t="e">
        <f>#REF!</f>
        <v>#REF!</v>
      </c>
      <c r="AJ87" s="30" t="e">
        <f>#REF!</f>
        <v>#REF!</v>
      </c>
      <c r="AK87" s="30" t="e">
        <f>#REF!</f>
        <v>#REF!</v>
      </c>
      <c r="AL87" s="30" t="e">
        <f>#REF!</f>
        <v>#REF!</v>
      </c>
      <c r="AM87" s="30" t="e">
        <f>#REF!</f>
        <v>#REF!</v>
      </c>
      <c r="AN87" s="30" t="e">
        <f>#REF!</f>
        <v>#REF!</v>
      </c>
      <c r="AO87" s="30" t="e">
        <f>#REF!</f>
        <v>#REF!</v>
      </c>
      <c r="AP87" s="30" t="e">
        <f>#REF!</f>
        <v>#REF!</v>
      </c>
      <c r="AQ87" s="30" t="e">
        <f>#REF!</f>
        <v>#REF!</v>
      </c>
      <c r="AR87" s="30" t="e">
        <f>#REF!</f>
        <v>#REF!</v>
      </c>
      <c r="AS87" s="30" t="e">
        <f>#REF!</f>
        <v>#REF!</v>
      </c>
      <c r="AT87" s="30" t="e">
        <f>#REF!</f>
        <v>#REF!</v>
      </c>
      <c r="AU87" s="30" t="e">
        <f>#REF!</f>
        <v>#REF!</v>
      </c>
      <c r="AV87" s="30" t="e">
        <f>#REF!</f>
        <v>#REF!</v>
      </c>
      <c r="AW87" s="30" t="e">
        <f>#REF!</f>
        <v>#REF!</v>
      </c>
      <c r="AX87" s="30" t="e">
        <f>#REF!</f>
        <v>#REF!</v>
      </c>
      <c r="AY87" s="30" t="e">
        <f>#REF!</f>
        <v>#REF!</v>
      </c>
      <c r="AZ87" s="32">
        <f t="shared" si="35"/>
        <v>0</v>
      </c>
    </row>
    <row r="88" spans="1:52" ht="15.5">
      <c r="A88">
        <v>11</v>
      </c>
      <c r="B88" s="30" t="str">
        <f>Critères!$B88</f>
        <v>11.6</v>
      </c>
      <c r="C88" s="30" t="str">
        <f>Critères!$A83</f>
        <v>FORMULAIRES</v>
      </c>
      <c r="D88" s="30" t="str">
        <f>'P01'!$D79</f>
        <v>NT</v>
      </c>
      <c r="E88" s="30" t="e">
        <f>#REF!</f>
        <v>#REF!</v>
      </c>
      <c r="F88" s="30" t="e">
        <f>#REF!</f>
        <v>#REF!</v>
      </c>
      <c r="G88" s="30" t="e">
        <f>#REF!</f>
        <v>#REF!</v>
      </c>
      <c r="H88" s="30" t="e">
        <f>#REF!</f>
        <v>#REF!</v>
      </c>
      <c r="I88" s="30" t="e">
        <f>#REF!</f>
        <v>#REF!</v>
      </c>
      <c r="J88" s="30" t="e">
        <f>#REF!</f>
        <v>#REF!</v>
      </c>
      <c r="K88" s="30" t="e">
        <f>#REF!</f>
        <v>#REF!</v>
      </c>
      <c r="L88" s="30" t="e">
        <f>#REF!</f>
        <v>#REF!</v>
      </c>
      <c r="M88" s="30" t="e">
        <f>#REF!</f>
        <v>#REF!</v>
      </c>
      <c r="N88" s="30" t="e">
        <f>#REF!</f>
        <v>#REF!</v>
      </c>
      <c r="O88" s="30" t="e">
        <f>#REF!</f>
        <v>#REF!</v>
      </c>
      <c r="P88" s="30" t="e">
        <f>#REF!</f>
        <v>#REF!</v>
      </c>
      <c r="Q88" s="30" t="e">
        <f>#REF!</f>
        <v>#REF!</v>
      </c>
      <c r="R88" s="30" t="e">
        <f>#REF!</f>
        <v>#REF!</v>
      </c>
      <c r="S88" s="30" t="e">
        <f>#REF!</f>
        <v>#REF!</v>
      </c>
      <c r="T88" s="30" t="e">
        <f>#REF!</f>
        <v>#REF!</v>
      </c>
      <c r="U88" s="30" t="e">
        <f>#REF!</f>
        <v>#REF!</v>
      </c>
      <c r="V88" s="30" t="e">
        <f>#REF!</f>
        <v>#REF!</v>
      </c>
      <c r="W88" s="30" t="e">
        <f>#REF!</f>
        <v>#REF!</v>
      </c>
      <c r="X88" s="32">
        <f t="shared" si="30"/>
        <v>0</v>
      </c>
      <c r="Y88" s="32">
        <f t="shared" si="31"/>
        <v>0</v>
      </c>
      <c r="Z88" s="32">
        <f t="shared" si="32"/>
        <v>0</v>
      </c>
      <c r="AA88" s="32">
        <f t="shared" si="33"/>
        <v>1</v>
      </c>
      <c r="AB88" t="str">
        <f t="shared" si="34"/>
        <v>NT</v>
      </c>
      <c r="AC88">
        <v>11</v>
      </c>
      <c r="AD88" s="30" t="str">
        <f>Critères!$B88</f>
        <v>11.6</v>
      </c>
      <c r="AE88" s="30" t="str">
        <f>Critères!$A83</f>
        <v>FORMULAIRES</v>
      </c>
      <c r="AF88" s="30" t="str">
        <f>'P01'!$E79</f>
        <v>N</v>
      </c>
      <c r="AG88" s="30" t="e">
        <f>#REF!</f>
        <v>#REF!</v>
      </c>
      <c r="AH88" s="30" t="e">
        <f>#REF!</f>
        <v>#REF!</v>
      </c>
      <c r="AI88" s="30" t="e">
        <f>#REF!</f>
        <v>#REF!</v>
      </c>
      <c r="AJ88" s="30" t="e">
        <f>#REF!</f>
        <v>#REF!</v>
      </c>
      <c r="AK88" s="30" t="e">
        <f>#REF!</f>
        <v>#REF!</v>
      </c>
      <c r="AL88" s="30" t="e">
        <f>#REF!</f>
        <v>#REF!</v>
      </c>
      <c r="AM88" s="30" t="e">
        <f>#REF!</f>
        <v>#REF!</v>
      </c>
      <c r="AN88" s="30" t="e">
        <f>#REF!</f>
        <v>#REF!</v>
      </c>
      <c r="AO88" s="30" t="e">
        <f>#REF!</f>
        <v>#REF!</v>
      </c>
      <c r="AP88" s="30" t="e">
        <f>#REF!</f>
        <v>#REF!</v>
      </c>
      <c r="AQ88" s="30" t="e">
        <f>#REF!</f>
        <v>#REF!</v>
      </c>
      <c r="AR88" s="30" t="e">
        <f>#REF!</f>
        <v>#REF!</v>
      </c>
      <c r="AS88" s="30" t="e">
        <f>#REF!</f>
        <v>#REF!</v>
      </c>
      <c r="AT88" s="30" t="e">
        <f>#REF!</f>
        <v>#REF!</v>
      </c>
      <c r="AU88" s="30" t="e">
        <f>#REF!</f>
        <v>#REF!</v>
      </c>
      <c r="AV88" s="30" t="e">
        <f>#REF!</f>
        <v>#REF!</v>
      </c>
      <c r="AW88" s="30" t="e">
        <f>#REF!</f>
        <v>#REF!</v>
      </c>
      <c r="AX88" s="30" t="e">
        <f>#REF!</f>
        <v>#REF!</v>
      </c>
      <c r="AY88" s="30" t="e">
        <f>#REF!</f>
        <v>#REF!</v>
      </c>
      <c r="AZ88" s="32">
        <f t="shared" si="35"/>
        <v>0</v>
      </c>
    </row>
    <row r="89" spans="1:52" ht="15.5">
      <c r="A89">
        <v>11</v>
      </c>
      <c r="B89" s="30" t="str">
        <f>Critères!$B89</f>
        <v>11.7</v>
      </c>
      <c r="C89" s="30" t="str">
        <f>Critères!$A83</f>
        <v>FORMULAIRES</v>
      </c>
      <c r="D89" s="30" t="str">
        <f>'P01'!$D80</f>
        <v>NT</v>
      </c>
      <c r="E89" s="30" t="e">
        <f>#REF!</f>
        <v>#REF!</v>
      </c>
      <c r="F89" s="30" t="e">
        <f>#REF!</f>
        <v>#REF!</v>
      </c>
      <c r="G89" s="30" t="e">
        <f>#REF!</f>
        <v>#REF!</v>
      </c>
      <c r="H89" s="30" t="e">
        <f>#REF!</f>
        <v>#REF!</v>
      </c>
      <c r="I89" s="30" t="e">
        <f>#REF!</f>
        <v>#REF!</v>
      </c>
      <c r="J89" s="30" t="e">
        <f>#REF!</f>
        <v>#REF!</v>
      </c>
      <c r="K89" s="30" t="e">
        <f>#REF!</f>
        <v>#REF!</v>
      </c>
      <c r="L89" s="30" t="e">
        <f>#REF!</f>
        <v>#REF!</v>
      </c>
      <c r="M89" s="30" t="e">
        <f>#REF!</f>
        <v>#REF!</v>
      </c>
      <c r="N89" s="30" t="e">
        <f>#REF!</f>
        <v>#REF!</v>
      </c>
      <c r="O89" s="30" t="e">
        <f>#REF!</f>
        <v>#REF!</v>
      </c>
      <c r="P89" s="30" t="e">
        <f>#REF!</f>
        <v>#REF!</v>
      </c>
      <c r="Q89" s="30" t="e">
        <f>#REF!</f>
        <v>#REF!</v>
      </c>
      <c r="R89" s="30" t="e">
        <f>#REF!</f>
        <v>#REF!</v>
      </c>
      <c r="S89" s="30" t="e">
        <f>#REF!</f>
        <v>#REF!</v>
      </c>
      <c r="T89" s="30" t="e">
        <f>#REF!</f>
        <v>#REF!</v>
      </c>
      <c r="U89" s="30" t="e">
        <f>#REF!</f>
        <v>#REF!</v>
      </c>
      <c r="V89" s="30" t="e">
        <f>#REF!</f>
        <v>#REF!</v>
      </c>
      <c r="W89" s="30" t="e">
        <f>#REF!</f>
        <v>#REF!</v>
      </c>
      <c r="X89" s="32">
        <f t="shared" si="30"/>
        <v>0</v>
      </c>
      <c r="Y89" s="32">
        <f t="shared" si="31"/>
        <v>0</v>
      </c>
      <c r="Z89" s="32">
        <f t="shared" si="32"/>
        <v>0</v>
      </c>
      <c r="AA89" s="32">
        <f t="shared" si="33"/>
        <v>1</v>
      </c>
      <c r="AB89" t="str">
        <f t="shared" si="34"/>
        <v>NT</v>
      </c>
      <c r="AC89">
        <v>11</v>
      </c>
      <c r="AD89" s="30" t="str">
        <f>Critères!$B89</f>
        <v>11.7</v>
      </c>
      <c r="AE89" s="30" t="str">
        <f>Critères!$A83</f>
        <v>FORMULAIRES</v>
      </c>
      <c r="AF89" s="30" t="str">
        <f>'P01'!$E80</f>
        <v>N</v>
      </c>
      <c r="AG89" s="30" t="e">
        <f>#REF!</f>
        <v>#REF!</v>
      </c>
      <c r="AH89" s="30" t="e">
        <f>#REF!</f>
        <v>#REF!</v>
      </c>
      <c r="AI89" s="30" t="e">
        <f>#REF!</f>
        <v>#REF!</v>
      </c>
      <c r="AJ89" s="30" t="e">
        <f>#REF!</f>
        <v>#REF!</v>
      </c>
      <c r="AK89" s="30" t="e">
        <f>#REF!</f>
        <v>#REF!</v>
      </c>
      <c r="AL89" s="30" t="e">
        <f>#REF!</f>
        <v>#REF!</v>
      </c>
      <c r="AM89" s="30" t="e">
        <f>#REF!</f>
        <v>#REF!</v>
      </c>
      <c r="AN89" s="30" t="e">
        <f>#REF!</f>
        <v>#REF!</v>
      </c>
      <c r="AO89" s="30" t="e">
        <f>#REF!</f>
        <v>#REF!</v>
      </c>
      <c r="AP89" s="30" t="e">
        <f>#REF!</f>
        <v>#REF!</v>
      </c>
      <c r="AQ89" s="30" t="e">
        <f>#REF!</f>
        <v>#REF!</v>
      </c>
      <c r="AR89" s="30" t="e">
        <f>#REF!</f>
        <v>#REF!</v>
      </c>
      <c r="AS89" s="30" t="e">
        <f>#REF!</f>
        <v>#REF!</v>
      </c>
      <c r="AT89" s="30" t="e">
        <f>#REF!</f>
        <v>#REF!</v>
      </c>
      <c r="AU89" s="30" t="e">
        <f>#REF!</f>
        <v>#REF!</v>
      </c>
      <c r="AV89" s="30" t="e">
        <f>#REF!</f>
        <v>#REF!</v>
      </c>
      <c r="AW89" s="30" t="e">
        <f>#REF!</f>
        <v>#REF!</v>
      </c>
      <c r="AX89" s="30" t="e">
        <f>#REF!</f>
        <v>#REF!</v>
      </c>
      <c r="AY89" s="30" t="e">
        <f>#REF!</f>
        <v>#REF!</v>
      </c>
      <c r="AZ89" s="32">
        <f t="shared" si="35"/>
        <v>0</v>
      </c>
    </row>
    <row r="90" spans="1:52" ht="15.5">
      <c r="A90">
        <v>11</v>
      </c>
      <c r="B90" s="30" t="str">
        <f>Critères!$B90</f>
        <v>11.8</v>
      </c>
      <c r="C90" s="30" t="str">
        <f>Critères!$A83</f>
        <v>FORMULAIRES</v>
      </c>
      <c r="D90" s="30" t="str">
        <f>'P01'!$D81</f>
        <v>NT</v>
      </c>
      <c r="E90" s="30" t="e">
        <f>#REF!</f>
        <v>#REF!</v>
      </c>
      <c r="F90" s="30" t="e">
        <f>#REF!</f>
        <v>#REF!</v>
      </c>
      <c r="G90" s="30" t="e">
        <f>#REF!</f>
        <v>#REF!</v>
      </c>
      <c r="H90" s="30" t="e">
        <f>#REF!</f>
        <v>#REF!</v>
      </c>
      <c r="I90" s="30" t="e">
        <f>#REF!</f>
        <v>#REF!</v>
      </c>
      <c r="J90" s="30" t="e">
        <f>#REF!</f>
        <v>#REF!</v>
      </c>
      <c r="K90" s="30" t="e">
        <f>#REF!</f>
        <v>#REF!</v>
      </c>
      <c r="L90" s="30" t="e">
        <f>#REF!</f>
        <v>#REF!</v>
      </c>
      <c r="M90" s="30" t="e">
        <f>#REF!</f>
        <v>#REF!</v>
      </c>
      <c r="N90" s="30" t="e">
        <f>#REF!</f>
        <v>#REF!</v>
      </c>
      <c r="O90" s="30" t="e">
        <f>#REF!</f>
        <v>#REF!</v>
      </c>
      <c r="P90" s="30" t="e">
        <f>#REF!</f>
        <v>#REF!</v>
      </c>
      <c r="Q90" s="30" t="e">
        <f>#REF!</f>
        <v>#REF!</v>
      </c>
      <c r="R90" s="30" t="e">
        <f>#REF!</f>
        <v>#REF!</v>
      </c>
      <c r="S90" s="30" t="e">
        <f>#REF!</f>
        <v>#REF!</v>
      </c>
      <c r="T90" s="30" t="e">
        <f>#REF!</f>
        <v>#REF!</v>
      </c>
      <c r="U90" s="30" t="e">
        <f>#REF!</f>
        <v>#REF!</v>
      </c>
      <c r="V90" s="30" t="e">
        <f>#REF!</f>
        <v>#REF!</v>
      </c>
      <c r="W90" s="30" t="e">
        <f>#REF!</f>
        <v>#REF!</v>
      </c>
      <c r="X90" s="32">
        <f t="shared" si="30"/>
        <v>0</v>
      </c>
      <c r="Y90" s="32">
        <f t="shared" si="31"/>
        <v>0</v>
      </c>
      <c r="Z90" s="32">
        <f t="shared" si="32"/>
        <v>0</v>
      </c>
      <c r="AA90" s="32">
        <f t="shared" si="33"/>
        <v>1</v>
      </c>
      <c r="AB90" t="str">
        <f t="shared" si="34"/>
        <v>NT</v>
      </c>
      <c r="AC90">
        <v>11</v>
      </c>
      <c r="AD90" s="30" t="str">
        <f>Critères!$B90</f>
        <v>11.8</v>
      </c>
      <c r="AE90" s="30" t="str">
        <f>Critères!$A83</f>
        <v>FORMULAIRES</v>
      </c>
      <c r="AF90" s="30" t="str">
        <f>'P01'!$E81</f>
        <v>N</v>
      </c>
      <c r="AG90" s="30" t="e">
        <f>#REF!</f>
        <v>#REF!</v>
      </c>
      <c r="AH90" s="30" t="e">
        <f>#REF!</f>
        <v>#REF!</v>
      </c>
      <c r="AI90" s="30" t="e">
        <f>#REF!</f>
        <v>#REF!</v>
      </c>
      <c r="AJ90" s="30" t="e">
        <f>#REF!</f>
        <v>#REF!</v>
      </c>
      <c r="AK90" s="30" t="e">
        <f>#REF!</f>
        <v>#REF!</v>
      </c>
      <c r="AL90" s="30" t="e">
        <f>#REF!</f>
        <v>#REF!</v>
      </c>
      <c r="AM90" s="30" t="e">
        <f>#REF!</f>
        <v>#REF!</v>
      </c>
      <c r="AN90" s="30" t="e">
        <f>#REF!</f>
        <v>#REF!</v>
      </c>
      <c r="AO90" s="30" t="e">
        <f>#REF!</f>
        <v>#REF!</v>
      </c>
      <c r="AP90" s="30" t="e">
        <f>#REF!</f>
        <v>#REF!</v>
      </c>
      <c r="AQ90" s="30" t="e">
        <f>#REF!</f>
        <v>#REF!</v>
      </c>
      <c r="AR90" s="30" t="e">
        <f>#REF!</f>
        <v>#REF!</v>
      </c>
      <c r="AS90" s="30" t="e">
        <f>#REF!</f>
        <v>#REF!</v>
      </c>
      <c r="AT90" s="30" t="e">
        <f>#REF!</f>
        <v>#REF!</v>
      </c>
      <c r="AU90" s="30" t="e">
        <f>#REF!</f>
        <v>#REF!</v>
      </c>
      <c r="AV90" s="30" t="e">
        <f>#REF!</f>
        <v>#REF!</v>
      </c>
      <c r="AW90" s="30" t="e">
        <f>#REF!</f>
        <v>#REF!</v>
      </c>
      <c r="AX90" s="30" t="e">
        <f>#REF!</f>
        <v>#REF!</v>
      </c>
      <c r="AY90" s="30" t="e">
        <f>#REF!</f>
        <v>#REF!</v>
      </c>
      <c r="AZ90" s="32">
        <f t="shared" si="35"/>
        <v>0</v>
      </c>
    </row>
    <row r="91" spans="1:52" ht="15.5">
      <c r="A91">
        <v>11</v>
      </c>
      <c r="B91" s="30" t="str">
        <f>Critères!$B91</f>
        <v>11.9</v>
      </c>
      <c r="C91" s="30" t="str">
        <f>Critères!$A83</f>
        <v>FORMULAIRES</v>
      </c>
      <c r="D91" s="30" t="str">
        <f>'P01'!$D82</f>
        <v>NT</v>
      </c>
      <c r="E91" s="30" t="e">
        <f>#REF!</f>
        <v>#REF!</v>
      </c>
      <c r="F91" s="30" t="e">
        <f>#REF!</f>
        <v>#REF!</v>
      </c>
      <c r="G91" s="30" t="e">
        <f>#REF!</f>
        <v>#REF!</v>
      </c>
      <c r="H91" s="30" t="e">
        <f>#REF!</f>
        <v>#REF!</v>
      </c>
      <c r="I91" s="30" t="e">
        <f>#REF!</f>
        <v>#REF!</v>
      </c>
      <c r="J91" s="30" t="e">
        <f>#REF!</f>
        <v>#REF!</v>
      </c>
      <c r="K91" s="30" t="e">
        <f>#REF!</f>
        <v>#REF!</v>
      </c>
      <c r="L91" s="30" t="e">
        <f>#REF!</f>
        <v>#REF!</v>
      </c>
      <c r="M91" s="30" t="e">
        <f>#REF!</f>
        <v>#REF!</v>
      </c>
      <c r="N91" s="30" t="e">
        <f>#REF!</f>
        <v>#REF!</v>
      </c>
      <c r="O91" s="30" t="e">
        <f>#REF!</f>
        <v>#REF!</v>
      </c>
      <c r="P91" s="30" t="e">
        <f>#REF!</f>
        <v>#REF!</v>
      </c>
      <c r="Q91" s="30" t="e">
        <f>#REF!</f>
        <v>#REF!</v>
      </c>
      <c r="R91" s="30" t="e">
        <f>#REF!</f>
        <v>#REF!</v>
      </c>
      <c r="S91" s="30" t="e">
        <f>#REF!</f>
        <v>#REF!</v>
      </c>
      <c r="T91" s="30" t="e">
        <f>#REF!</f>
        <v>#REF!</v>
      </c>
      <c r="U91" s="30" t="e">
        <f>#REF!</f>
        <v>#REF!</v>
      </c>
      <c r="V91" s="30" t="e">
        <f>#REF!</f>
        <v>#REF!</v>
      </c>
      <c r="W91" s="30" t="e">
        <f>#REF!</f>
        <v>#REF!</v>
      </c>
      <c r="X91" s="32">
        <f t="shared" si="30"/>
        <v>0</v>
      </c>
      <c r="Y91" s="32">
        <f t="shared" si="31"/>
        <v>0</v>
      </c>
      <c r="Z91" s="32">
        <f t="shared" si="32"/>
        <v>0</v>
      </c>
      <c r="AA91" s="32">
        <f t="shared" si="33"/>
        <v>1</v>
      </c>
      <c r="AB91" t="str">
        <f t="shared" si="34"/>
        <v>NT</v>
      </c>
      <c r="AC91">
        <v>11</v>
      </c>
      <c r="AD91" s="30" t="str">
        <f>Critères!$B91</f>
        <v>11.9</v>
      </c>
      <c r="AE91" s="30" t="str">
        <f>Critères!$A83</f>
        <v>FORMULAIRES</v>
      </c>
      <c r="AF91" s="30" t="str">
        <f>'P01'!$E82</f>
        <v>N</v>
      </c>
      <c r="AG91" s="30" t="e">
        <f>#REF!</f>
        <v>#REF!</v>
      </c>
      <c r="AH91" s="30" t="e">
        <f>#REF!</f>
        <v>#REF!</v>
      </c>
      <c r="AI91" s="30" t="e">
        <f>#REF!</f>
        <v>#REF!</v>
      </c>
      <c r="AJ91" s="30" t="e">
        <f>#REF!</f>
        <v>#REF!</v>
      </c>
      <c r="AK91" s="30" t="e">
        <f>#REF!</f>
        <v>#REF!</v>
      </c>
      <c r="AL91" s="30" t="e">
        <f>#REF!</f>
        <v>#REF!</v>
      </c>
      <c r="AM91" s="30" t="e">
        <f>#REF!</f>
        <v>#REF!</v>
      </c>
      <c r="AN91" s="30" t="e">
        <f>#REF!</f>
        <v>#REF!</v>
      </c>
      <c r="AO91" s="30" t="e">
        <f>#REF!</f>
        <v>#REF!</v>
      </c>
      <c r="AP91" s="30" t="e">
        <f>#REF!</f>
        <v>#REF!</v>
      </c>
      <c r="AQ91" s="30" t="e">
        <f>#REF!</f>
        <v>#REF!</v>
      </c>
      <c r="AR91" s="30" t="e">
        <f>#REF!</f>
        <v>#REF!</v>
      </c>
      <c r="AS91" s="30" t="e">
        <f>#REF!</f>
        <v>#REF!</v>
      </c>
      <c r="AT91" s="30" t="e">
        <f>#REF!</f>
        <v>#REF!</v>
      </c>
      <c r="AU91" s="30" t="e">
        <f>#REF!</f>
        <v>#REF!</v>
      </c>
      <c r="AV91" s="30" t="e">
        <f>#REF!</f>
        <v>#REF!</v>
      </c>
      <c r="AW91" s="30" t="e">
        <f>#REF!</f>
        <v>#REF!</v>
      </c>
      <c r="AX91" s="30" t="e">
        <f>#REF!</f>
        <v>#REF!</v>
      </c>
      <c r="AY91" s="30" t="e">
        <f>#REF!</f>
        <v>#REF!</v>
      </c>
      <c r="AZ91" s="32">
        <f t="shared" si="35"/>
        <v>0</v>
      </c>
    </row>
    <row r="92" spans="1:52" ht="15.5">
      <c r="A92">
        <v>11</v>
      </c>
      <c r="B92" s="30" t="str">
        <f>Critères!$B92</f>
        <v>11.10</v>
      </c>
      <c r="C92" s="30" t="str">
        <f>Critères!$A83</f>
        <v>FORMULAIRES</v>
      </c>
      <c r="D92" s="30" t="str">
        <f>'P01'!$D83</f>
        <v>NT</v>
      </c>
      <c r="E92" s="30" t="e">
        <f>#REF!</f>
        <v>#REF!</v>
      </c>
      <c r="F92" s="30" t="e">
        <f>#REF!</f>
        <v>#REF!</v>
      </c>
      <c r="G92" s="30" t="e">
        <f>#REF!</f>
        <v>#REF!</v>
      </c>
      <c r="H92" s="30" t="e">
        <f>#REF!</f>
        <v>#REF!</v>
      </c>
      <c r="I92" s="30" t="e">
        <f>#REF!</f>
        <v>#REF!</v>
      </c>
      <c r="J92" s="30" t="e">
        <f>#REF!</f>
        <v>#REF!</v>
      </c>
      <c r="K92" s="30" t="e">
        <f>#REF!</f>
        <v>#REF!</v>
      </c>
      <c r="L92" s="30" t="e">
        <f>#REF!</f>
        <v>#REF!</v>
      </c>
      <c r="M92" s="30" t="e">
        <f>#REF!</f>
        <v>#REF!</v>
      </c>
      <c r="N92" s="30" t="e">
        <f>#REF!</f>
        <v>#REF!</v>
      </c>
      <c r="O92" s="30" t="e">
        <f>#REF!</f>
        <v>#REF!</v>
      </c>
      <c r="P92" s="30" t="e">
        <f>#REF!</f>
        <v>#REF!</v>
      </c>
      <c r="Q92" s="30" t="e">
        <f>#REF!</f>
        <v>#REF!</v>
      </c>
      <c r="R92" s="30" t="e">
        <f>#REF!</f>
        <v>#REF!</v>
      </c>
      <c r="S92" s="30" t="e">
        <f>#REF!</f>
        <v>#REF!</v>
      </c>
      <c r="T92" s="30" t="e">
        <f>#REF!</f>
        <v>#REF!</v>
      </c>
      <c r="U92" s="30" t="e">
        <f>#REF!</f>
        <v>#REF!</v>
      </c>
      <c r="V92" s="30" t="e">
        <f>#REF!</f>
        <v>#REF!</v>
      </c>
      <c r="W92" s="30" t="e">
        <f>#REF!</f>
        <v>#REF!</v>
      </c>
      <c r="X92" s="32">
        <f t="shared" si="30"/>
        <v>0</v>
      </c>
      <c r="Y92" s="32">
        <f t="shared" si="31"/>
        <v>0</v>
      </c>
      <c r="Z92" s="32">
        <f t="shared" si="32"/>
        <v>0</v>
      </c>
      <c r="AA92" s="32">
        <f t="shared" si="33"/>
        <v>1</v>
      </c>
      <c r="AB92" t="str">
        <f t="shared" si="34"/>
        <v>NT</v>
      </c>
      <c r="AC92">
        <v>11</v>
      </c>
      <c r="AD92" s="30" t="str">
        <f>Critères!$B92</f>
        <v>11.10</v>
      </c>
      <c r="AE92" s="30" t="str">
        <f>Critères!$A83</f>
        <v>FORMULAIRES</v>
      </c>
      <c r="AF92" s="30" t="str">
        <f>'P01'!$E83</f>
        <v>N</v>
      </c>
      <c r="AG92" s="30" t="e">
        <f>#REF!</f>
        <v>#REF!</v>
      </c>
      <c r="AH92" s="30" t="e">
        <f>#REF!</f>
        <v>#REF!</v>
      </c>
      <c r="AI92" s="30" t="e">
        <f>#REF!</f>
        <v>#REF!</v>
      </c>
      <c r="AJ92" s="30" t="e">
        <f>#REF!</f>
        <v>#REF!</v>
      </c>
      <c r="AK92" s="30" t="e">
        <f>#REF!</f>
        <v>#REF!</v>
      </c>
      <c r="AL92" s="30" t="e">
        <f>#REF!</f>
        <v>#REF!</v>
      </c>
      <c r="AM92" s="30" t="e">
        <f>#REF!</f>
        <v>#REF!</v>
      </c>
      <c r="AN92" s="30" t="e">
        <f>#REF!</f>
        <v>#REF!</v>
      </c>
      <c r="AO92" s="30" t="e">
        <f>#REF!</f>
        <v>#REF!</v>
      </c>
      <c r="AP92" s="30" t="e">
        <f>#REF!</f>
        <v>#REF!</v>
      </c>
      <c r="AQ92" s="30" t="e">
        <f>#REF!</f>
        <v>#REF!</v>
      </c>
      <c r="AR92" s="30" t="e">
        <f>#REF!</f>
        <v>#REF!</v>
      </c>
      <c r="AS92" s="30" t="e">
        <f>#REF!</f>
        <v>#REF!</v>
      </c>
      <c r="AT92" s="30" t="e">
        <f>#REF!</f>
        <v>#REF!</v>
      </c>
      <c r="AU92" s="30" t="e">
        <f>#REF!</f>
        <v>#REF!</v>
      </c>
      <c r="AV92" s="30" t="e">
        <f>#REF!</f>
        <v>#REF!</v>
      </c>
      <c r="AW92" s="30" t="e">
        <f>#REF!</f>
        <v>#REF!</v>
      </c>
      <c r="AX92" s="30" t="e">
        <f>#REF!</f>
        <v>#REF!</v>
      </c>
      <c r="AY92" s="30" t="e">
        <f>#REF!</f>
        <v>#REF!</v>
      </c>
      <c r="AZ92" s="32">
        <f t="shared" si="35"/>
        <v>0</v>
      </c>
    </row>
    <row r="93" spans="1:52" ht="15.5">
      <c r="A93">
        <v>11</v>
      </c>
      <c r="B93" s="30" t="str">
        <f>Critères!$B93</f>
        <v>11.11</v>
      </c>
      <c r="C93" s="30" t="str">
        <f>Critères!$A83</f>
        <v>FORMULAIRES</v>
      </c>
      <c r="D93" s="30" t="str">
        <f>'P01'!$D84</f>
        <v>NT</v>
      </c>
      <c r="E93" s="30" t="e">
        <f>#REF!</f>
        <v>#REF!</v>
      </c>
      <c r="F93" s="30" t="e">
        <f>#REF!</f>
        <v>#REF!</v>
      </c>
      <c r="G93" s="30" t="e">
        <f>#REF!</f>
        <v>#REF!</v>
      </c>
      <c r="H93" s="30" t="e">
        <f>#REF!</f>
        <v>#REF!</v>
      </c>
      <c r="I93" s="30" t="e">
        <f>#REF!</f>
        <v>#REF!</v>
      </c>
      <c r="J93" s="30" t="e">
        <f>#REF!</f>
        <v>#REF!</v>
      </c>
      <c r="K93" s="30" t="e">
        <f>#REF!</f>
        <v>#REF!</v>
      </c>
      <c r="L93" s="30" t="e">
        <f>#REF!</f>
        <v>#REF!</v>
      </c>
      <c r="M93" s="30" t="e">
        <f>#REF!</f>
        <v>#REF!</v>
      </c>
      <c r="N93" s="30" t="e">
        <f>#REF!</f>
        <v>#REF!</v>
      </c>
      <c r="O93" s="30" t="e">
        <f>#REF!</f>
        <v>#REF!</v>
      </c>
      <c r="P93" s="30" t="e">
        <f>#REF!</f>
        <v>#REF!</v>
      </c>
      <c r="Q93" s="30" t="e">
        <f>#REF!</f>
        <v>#REF!</v>
      </c>
      <c r="R93" s="30" t="e">
        <f>#REF!</f>
        <v>#REF!</v>
      </c>
      <c r="S93" s="30" t="e">
        <f>#REF!</f>
        <v>#REF!</v>
      </c>
      <c r="T93" s="30" t="e">
        <f>#REF!</f>
        <v>#REF!</v>
      </c>
      <c r="U93" s="30" t="e">
        <f>#REF!</f>
        <v>#REF!</v>
      </c>
      <c r="V93" s="30" t="e">
        <f>#REF!</f>
        <v>#REF!</v>
      </c>
      <c r="W93" s="30" t="e">
        <f>#REF!</f>
        <v>#REF!</v>
      </c>
      <c r="X93" s="32">
        <f t="shared" si="30"/>
        <v>0</v>
      </c>
      <c r="Y93" s="32">
        <f t="shared" si="31"/>
        <v>0</v>
      </c>
      <c r="Z93" s="32">
        <f t="shared" si="32"/>
        <v>0</v>
      </c>
      <c r="AA93" s="32">
        <f t="shared" si="33"/>
        <v>1</v>
      </c>
      <c r="AB93" t="str">
        <f t="shared" si="34"/>
        <v>NT</v>
      </c>
      <c r="AC93">
        <v>11</v>
      </c>
      <c r="AD93" s="30" t="str">
        <f>Critères!$B93</f>
        <v>11.11</v>
      </c>
      <c r="AE93" s="30" t="str">
        <f>Critères!$A83</f>
        <v>FORMULAIRES</v>
      </c>
      <c r="AF93" s="30" t="str">
        <f>'P01'!$E84</f>
        <v>N</v>
      </c>
      <c r="AG93" s="30" t="e">
        <f>#REF!</f>
        <v>#REF!</v>
      </c>
      <c r="AH93" s="30" t="e">
        <f>#REF!</f>
        <v>#REF!</v>
      </c>
      <c r="AI93" s="30" t="e">
        <f>#REF!</f>
        <v>#REF!</v>
      </c>
      <c r="AJ93" s="30" t="e">
        <f>#REF!</f>
        <v>#REF!</v>
      </c>
      <c r="AK93" s="30" t="e">
        <f>#REF!</f>
        <v>#REF!</v>
      </c>
      <c r="AL93" s="30" t="e">
        <f>#REF!</f>
        <v>#REF!</v>
      </c>
      <c r="AM93" s="30" t="e">
        <f>#REF!</f>
        <v>#REF!</v>
      </c>
      <c r="AN93" s="30" t="e">
        <f>#REF!</f>
        <v>#REF!</v>
      </c>
      <c r="AO93" s="30" t="e">
        <f>#REF!</f>
        <v>#REF!</v>
      </c>
      <c r="AP93" s="30" t="e">
        <f>#REF!</f>
        <v>#REF!</v>
      </c>
      <c r="AQ93" s="30" t="e">
        <f>#REF!</f>
        <v>#REF!</v>
      </c>
      <c r="AR93" s="30" t="e">
        <f>#REF!</f>
        <v>#REF!</v>
      </c>
      <c r="AS93" s="30" t="e">
        <f>#REF!</f>
        <v>#REF!</v>
      </c>
      <c r="AT93" s="30" t="e">
        <f>#REF!</f>
        <v>#REF!</v>
      </c>
      <c r="AU93" s="30" t="e">
        <f>#REF!</f>
        <v>#REF!</v>
      </c>
      <c r="AV93" s="30" t="e">
        <f>#REF!</f>
        <v>#REF!</v>
      </c>
      <c r="AW93" s="30" t="e">
        <f>#REF!</f>
        <v>#REF!</v>
      </c>
      <c r="AX93" s="30" t="e">
        <f>#REF!</f>
        <v>#REF!</v>
      </c>
      <c r="AY93" s="30" t="e">
        <f>#REF!</f>
        <v>#REF!</v>
      </c>
      <c r="AZ93" s="32">
        <f t="shared" si="35"/>
        <v>0</v>
      </c>
    </row>
    <row r="94" spans="1:52" ht="15.5">
      <c r="A94">
        <v>11</v>
      </c>
      <c r="B94" s="30" t="str">
        <f>Critères!$B94</f>
        <v>11.12</v>
      </c>
      <c r="C94" s="30" t="str">
        <f>Critères!$A83</f>
        <v>FORMULAIRES</v>
      </c>
      <c r="D94" s="30" t="str">
        <f>'P01'!$D85</f>
        <v>NT</v>
      </c>
      <c r="E94" s="30" t="e">
        <f>#REF!</f>
        <v>#REF!</v>
      </c>
      <c r="F94" s="30" t="e">
        <f>#REF!</f>
        <v>#REF!</v>
      </c>
      <c r="G94" s="30" t="e">
        <f>#REF!</f>
        <v>#REF!</v>
      </c>
      <c r="H94" s="30" t="e">
        <f>#REF!</f>
        <v>#REF!</v>
      </c>
      <c r="I94" s="30" t="e">
        <f>#REF!</f>
        <v>#REF!</v>
      </c>
      <c r="J94" s="30" t="e">
        <f>#REF!</f>
        <v>#REF!</v>
      </c>
      <c r="K94" s="30" t="e">
        <f>#REF!</f>
        <v>#REF!</v>
      </c>
      <c r="L94" s="30" t="e">
        <f>#REF!</f>
        <v>#REF!</v>
      </c>
      <c r="M94" s="30" t="e">
        <f>#REF!</f>
        <v>#REF!</v>
      </c>
      <c r="N94" s="30" t="e">
        <f>#REF!</f>
        <v>#REF!</v>
      </c>
      <c r="O94" s="30" t="e">
        <f>#REF!</f>
        <v>#REF!</v>
      </c>
      <c r="P94" s="30" t="e">
        <f>#REF!</f>
        <v>#REF!</v>
      </c>
      <c r="Q94" s="30" t="e">
        <f>#REF!</f>
        <v>#REF!</v>
      </c>
      <c r="R94" s="30" t="e">
        <f>#REF!</f>
        <v>#REF!</v>
      </c>
      <c r="S94" s="30" t="e">
        <f>#REF!</f>
        <v>#REF!</v>
      </c>
      <c r="T94" s="30" t="e">
        <f>#REF!</f>
        <v>#REF!</v>
      </c>
      <c r="U94" s="30" t="e">
        <f>#REF!</f>
        <v>#REF!</v>
      </c>
      <c r="V94" s="30" t="e">
        <f>#REF!</f>
        <v>#REF!</v>
      </c>
      <c r="W94" s="30" t="e">
        <f>#REF!</f>
        <v>#REF!</v>
      </c>
      <c r="X94" s="32">
        <f t="shared" si="30"/>
        <v>0</v>
      </c>
      <c r="Y94" s="32">
        <f t="shared" si="31"/>
        <v>0</v>
      </c>
      <c r="Z94" s="32">
        <f t="shared" si="32"/>
        <v>0</v>
      </c>
      <c r="AA94" s="32">
        <f t="shared" si="33"/>
        <v>1</v>
      </c>
      <c r="AB94" t="str">
        <f t="shared" si="34"/>
        <v>NT</v>
      </c>
      <c r="AC94">
        <v>11</v>
      </c>
      <c r="AD94" s="30" t="str">
        <f>Critères!$B94</f>
        <v>11.12</v>
      </c>
      <c r="AE94" s="30" t="str">
        <f>Critères!$A83</f>
        <v>FORMULAIRES</v>
      </c>
      <c r="AF94" s="30" t="str">
        <f>'P01'!$E85</f>
        <v>N</v>
      </c>
      <c r="AG94" s="30" t="e">
        <f>#REF!</f>
        <v>#REF!</v>
      </c>
      <c r="AH94" s="30" t="e">
        <f>#REF!</f>
        <v>#REF!</v>
      </c>
      <c r="AI94" s="30" t="e">
        <f>#REF!</f>
        <v>#REF!</v>
      </c>
      <c r="AJ94" s="30" t="e">
        <f>#REF!</f>
        <v>#REF!</v>
      </c>
      <c r="AK94" s="30" t="e">
        <f>#REF!</f>
        <v>#REF!</v>
      </c>
      <c r="AL94" s="30" t="e">
        <f>#REF!</f>
        <v>#REF!</v>
      </c>
      <c r="AM94" s="30" t="e">
        <f>#REF!</f>
        <v>#REF!</v>
      </c>
      <c r="AN94" s="30" t="e">
        <f>#REF!</f>
        <v>#REF!</v>
      </c>
      <c r="AO94" s="30" t="e">
        <f>#REF!</f>
        <v>#REF!</v>
      </c>
      <c r="AP94" s="30" t="e">
        <f>#REF!</f>
        <v>#REF!</v>
      </c>
      <c r="AQ94" s="30" t="e">
        <f>#REF!</f>
        <v>#REF!</v>
      </c>
      <c r="AR94" s="30" t="e">
        <f>#REF!</f>
        <v>#REF!</v>
      </c>
      <c r="AS94" s="30" t="e">
        <f>#REF!</f>
        <v>#REF!</v>
      </c>
      <c r="AT94" s="30" t="e">
        <f>#REF!</f>
        <v>#REF!</v>
      </c>
      <c r="AU94" s="30" t="e">
        <f>#REF!</f>
        <v>#REF!</v>
      </c>
      <c r="AV94" s="30" t="e">
        <f>#REF!</f>
        <v>#REF!</v>
      </c>
      <c r="AW94" s="30" t="e">
        <f>#REF!</f>
        <v>#REF!</v>
      </c>
      <c r="AX94" s="30" t="e">
        <f>#REF!</f>
        <v>#REF!</v>
      </c>
      <c r="AY94" s="30" t="e">
        <f>#REF!</f>
        <v>#REF!</v>
      </c>
      <c r="AZ94" s="32">
        <f t="shared" si="35"/>
        <v>0</v>
      </c>
    </row>
    <row r="95" spans="1:52" ht="15.5">
      <c r="A95">
        <v>11</v>
      </c>
      <c r="B95" s="30" t="str">
        <f>Critères!$B95</f>
        <v>11.13</v>
      </c>
      <c r="C95" s="30" t="str">
        <f>Critères!$A83</f>
        <v>FORMULAIRES</v>
      </c>
      <c r="D95" s="30" t="str">
        <f>'P01'!$D86</f>
        <v>NT</v>
      </c>
      <c r="E95" s="30" t="e">
        <f>#REF!</f>
        <v>#REF!</v>
      </c>
      <c r="F95" s="30" t="e">
        <f>#REF!</f>
        <v>#REF!</v>
      </c>
      <c r="G95" s="30" t="e">
        <f>#REF!</f>
        <v>#REF!</v>
      </c>
      <c r="H95" s="30" t="e">
        <f>#REF!</f>
        <v>#REF!</v>
      </c>
      <c r="I95" s="30" t="e">
        <f>#REF!</f>
        <v>#REF!</v>
      </c>
      <c r="J95" s="30" t="e">
        <f>#REF!</f>
        <v>#REF!</v>
      </c>
      <c r="K95" s="30" t="e">
        <f>#REF!</f>
        <v>#REF!</v>
      </c>
      <c r="L95" s="30" t="e">
        <f>#REF!</f>
        <v>#REF!</v>
      </c>
      <c r="M95" s="30" t="e">
        <f>#REF!</f>
        <v>#REF!</v>
      </c>
      <c r="N95" s="30" t="e">
        <f>#REF!</f>
        <v>#REF!</v>
      </c>
      <c r="O95" s="30" t="e">
        <f>#REF!</f>
        <v>#REF!</v>
      </c>
      <c r="P95" s="30" t="e">
        <f>#REF!</f>
        <v>#REF!</v>
      </c>
      <c r="Q95" s="30" t="e">
        <f>#REF!</f>
        <v>#REF!</v>
      </c>
      <c r="R95" s="30" t="e">
        <f>#REF!</f>
        <v>#REF!</v>
      </c>
      <c r="S95" s="30" t="e">
        <f>#REF!</f>
        <v>#REF!</v>
      </c>
      <c r="T95" s="30" t="e">
        <f>#REF!</f>
        <v>#REF!</v>
      </c>
      <c r="U95" s="30" t="e">
        <f>#REF!</f>
        <v>#REF!</v>
      </c>
      <c r="V95" s="30" t="e">
        <f>#REF!</f>
        <v>#REF!</v>
      </c>
      <c r="W95" s="30" t="e">
        <f>#REF!</f>
        <v>#REF!</v>
      </c>
      <c r="X95" s="32">
        <f t="shared" si="30"/>
        <v>0</v>
      </c>
      <c r="Y95" s="32">
        <f t="shared" si="31"/>
        <v>0</v>
      </c>
      <c r="Z95" s="32">
        <f t="shared" si="32"/>
        <v>0</v>
      </c>
      <c r="AA95" s="32">
        <f t="shared" si="33"/>
        <v>1</v>
      </c>
      <c r="AB95" t="str">
        <f t="shared" si="34"/>
        <v>NT</v>
      </c>
      <c r="AC95">
        <v>11</v>
      </c>
      <c r="AD95" s="30" t="str">
        <f>Critères!$B95</f>
        <v>11.13</v>
      </c>
      <c r="AE95" s="30" t="str">
        <f>Critères!$A83</f>
        <v>FORMULAIRES</v>
      </c>
      <c r="AF95" s="30" t="str">
        <f>'P01'!$E86</f>
        <v>N</v>
      </c>
      <c r="AG95" s="30" t="e">
        <f>#REF!</f>
        <v>#REF!</v>
      </c>
      <c r="AH95" s="30" t="e">
        <f>#REF!</f>
        <v>#REF!</v>
      </c>
      <c r="AI95" s="30" t="e">
        <f>#REF!</f>
        <v>#REF!</v>
      </c>
      <c r="AJ95" s="30" t="e">
        <f>#REF!</f>
        <v>#REF!</v>
      </c>
      <c r="AK95" s="30" t="e">
        <f>#REF!</f>
        <v>#REF!</v>
      </c>
      <c r="AL95" s="30" t="e">
        <f>#REF!</f>
        <v>#REF!</v>
      </c>
      <c r="AM95" s="30" t="e">
        <f>#REF!</f>
        <v>#REF!</v>
      </c>
      <c r="AN95" s="30" t="e">
        <f>#REF!</f>
        <v>#REF!</v>
      </c>
      <c r="AO95" s="30" t="e">
        <f>#REF!</f>
        <v>#REF!</v>
      </c>
      <c r="AP95" s="30" t="e">
        <f>#REF!</f>
        <v>#REF!</v>
      </c>
      <c r="AQ95" s="30" t="e">
        <f>#REF!</f>
        <v>#REF!</v>
      </c>
      <c r="AR95" s="30" t="e">
        <f>#REF!</f>
        <v>#REF!</v>
      </c>
      <c r="AS95" s="30" t="e">
        <f>#REF!</f>
        <v>#REF!</v>
      </c>
      <c r="AT95" s="30" t="e">
        <f>#REF!</f>
        <v>#REF!</v>
      </c>
      <c r="AU95" s="30" t="e">
        <f>#REF!</f>
        <v>#REF!</v>
      </c>
      <c r="AV95" s="30" t="e">
        <f>#REF!</f>
        <v>#REF!</v>
      </c>
      <c r="AW95" s="30" t="e">
        <f>#REF!</f>
        <v>#REF!</v>
      </c>
      <c r="AX95" s="30" t="e">
        <f>#REF!</f>
        <v>#REF!</v>
      </c>
      <c r="AY95" s="30" t="e">
        <f>#REF!</f>
        <v>#REF!</v>
      </c>
      <c r="AZ95" s="32">
        <f t="shared" si="35"/>
        <v>0</v>
      </c>
    </row>
    <row r="96" spans="1:52" ht="15.5">
      <c r="A96" s="3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6">
        <f>SUM(X83:X95)</f>
        <v>0</v>
      </c>
      <c r="Y96" s="36">
        <f>SUM(Y83:Y95)</f>
        <v>0</v>
      </c>
      <c r="Z96" s="36">
        <f>SUM(Z83:Z95)</f>
        <v>0</v>
      </c>
      <c r="AA96" s="36">
        <f>SUM(AA83:AA95)</f>
        <v>13</v>
      </c>
      <c r="AC96" s="3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6">
        <f>SUM(AZ83:AZ95)</f>
        <v>0</v>
      </c>
    </row>
    <row r="97" spans="1:52" ht="15.5">
      <c r="A97">
        <v>12</v>
      </c>
      <c r="B97" s="30" t="str">
        <f>Critères!$B97</f>
        <v>12.1</v>
      </c>
      <c r="C97" s="30" t="str">
        <f>Critères!$A97</f>
        <v>NAVIGATION</v>
      </c>
      <c r="D97" s="30" t="str">
        <f>'P01'!$D87</f>
        <v>NT</v>
      </c>
      <c r="E97" s="30" t="e">
        <f>#REF!</f>
        <v>#REF!</v>
      </c>
      <c r="F97" s="30" t="e">
        <f>#REF!</f>
        <v>#REF!</v>
      </c>
      <c r="G97" s="30" t="e">
        <f>#REF!</f>
        <v>#REF!</v>
      </c>
      <c r="H97" s="30" t="e">
        <f>#REF!</f>
        <v>#REF!</v>
      </c>
      <c r="I97" s="30" t="e">
        <f>#REF!</f>
        <v>#REF!</v>
      </c>
      <c r="J97" s="30" t="e">
        <f>#REF!</f>
        <v>#REF!</v>
      </c>
      <c r="K97" s="30" t="e">
        <f>#REF!</f>
        <v>#REF!</v>
      </c>
      <c r="L97" s="30" t="e">
        <f>#REF!</f>
        <v>#REF!</v>
      </c>
      <c r="M97" s="30" t="e">
        <f>#REF!</f>
        <v>#REF!</v>
      </c>
      <c r="N97" s="30" t="e">
        <f>#REF!</f>
        <v>#REF!</v>
      </c>
      <c r="O97" s="30" t="e">
        <f>#REF!</f>
        <v>#REF!</v>
      </c>
      <c r="P97" s="30" t="e">
        <f>#REF!</f>
        <v>#REF!</v>
      </c>
      <c r="Q97" s="30" t="e">
        <f>#REF!</f>
        <v>#REF!</v>
      </c>
      <c r="R97" s="30" t="e">
        <f>#REF!</f>
        <v>#REF!</v>
      </c>
      <c r="S97" s="30" t="e">
        <f>#REF!</f>
        <v>#REF!</v>
      </c>
      <c r="T97" s="30" t="e">
        <f>#REF!</f>
        <v>#REF!</v>
      </c>
      <c r="U97" s="30" t="e">
        <f>#REF!</f>
        <v>#REF!</v>
      </c>
      <c r="V97" s="30" t="e">
        <f>#REF!</f>
        <v>#REF!</v>
      </c>
      <c r="W97" s="30" t="e">
        <f>#REF!</f>
        <v>#REF!</v>
      </c>
      <c r="X97" s="32">
        <f t="shared" ref="X97:X107" si="36">COUNTIF(D97:W97,"C")</f>
        <v>0</v>
      </c>
      <c r="Y97" s="32">
        <f t="shared" ref="Y97:Y107" si="37">COUNTIF(D97:W97,"NC")</f>
        <v>0</v>
      </c>
      <c r="Z97" s="32">
        <f t="shared" ref="Z97:Z107" si="38">COUNTIF(D97:W97,"NA")</f>
        <v>0</v>
      </c>
      <c r="AA97" s="32">
        <f t="shared" ref="AA97:AA107" si="39">COUNTIF(D97:W97,"NT")</f>
        <v>1</v>
      </c>
      <c r="AB97" t="str">
        <f t="shared" ref="AB97:AB107" si="40">IF(Y97&gt;0,"NC",IF(X97&gt;0,"C",IF(AA97&gt;0,"NT","NA")))</f>
        <v>NT</v>
      </c>
      <c r="AC97">
        <v>12</v>
      </c>
      <c r="AD97" s="30" t="str">
        <f>Critères!$B97</f>
        <v>12.1</v>
      </c>
      <c r="AE97" s="30" t="str">
        <f>Critères!$A97</f>
        <v>NAVIGATION</v>
      </c>
      <c r="AF97" s="30" t="str">
        <f>'P01'!$E87</f>
        <v>N</v>
      </c>
      <c r="AG97" s="30" t="e">
        <f>#REF!</f>
        <v>#REF!</v>
      </c>
      <c r="AH97" s="30" t="e">
        <f>#REF!</f>
        <v>#REF!</v>
      </c>
      <c r="AI97" s="30" t="e">
        <f>#REF!</f>
        <v>#REF!</v>
      </c>
      <c r="AJ97" s="30" t="e">
        <f>#REF!</f>
        <v>#REF!</v>
      </c>
      <c r="AK97" s="30" t="e">
        <f>#REF!</f>
        <v>#REF!</v>
      </c>
      <c r="AL97" s="30" t="e">
        <f>#REF!</f>
        <v>#REF!</v>
      </c>
      <c r="AM97" s="30" t="e">
        <f>#REF!</f>
        <v>#REF!</v>
      </c>
      <c r="AN97" s="30" t="e">
        <f>#REF!</f>
        <v>#REF!</v>
      </c>
      <c r="AO97" s="30" t="e">
        <f>#REF!</f>
        <v>#REF!</v>
      </c>
      <c r="AP97" s="30" t="e">
        <f>#REF!</f>
        <v>#REF!</v>
      </c>
      <c r="AQ97" s="30" t="e">
        <f>#REF!</f>
        <v>#REF!</v>
      </c>
      <c r="AR97" s="30" t="e">
        <f>#REF!</f>
        <v>#REF!</v>
      </c>
      <c r="AS97" s="30" t="e">
        <f>#REF!</f>
        <v>#REF!</v>
      </c>
      <c r="AT97" s="30" t="e">
        <f>#REF!</f>
        <v>#REF!</v>
      </c>
      <c r="AU97" s="30" t="e">
        <f>#REF!</f>
        <v>#REF!</v>
      </c>
      <c r="AV97" s="30" t="e">
        <f>#REF!</f>
        <v>#REF!</v>
      </c>
      <c r="AW97" s="30" t="e">
        <f>#REF!</f>
        <v>#REF!</v>
      </c>
      <c r="AX97" s="30" t="e">
        <f>#REF!</f>
        <v>#REF!</v>
      </c>
      <c r="AY97" s="30" t="e">
        <f>#REF!</f>
        <v>#REF!</v>
      </c>
      <c r="AZ97" s="32">
        <f t="shared" ref="AZ97:AZ107" si="41">COUNTIF(AF97:AY97,"D")</f>
        <v>0</v>
      </c>
    </row>
    <row r="98" spans="1:52" ht="15.5">
      <c r="A98">
        <v>12</v>
      </c>
      <c r="B98" s="30" t="str">
        <f>Critères!$B98</f>
        <v>12.2</v>
      </c>
      <c r="C98" s="30" t="str">
        <f>Critères!$A97</f>
        <v>NAVIGATION</v>
      </c>
      <c r="D98" s="30" t="str">
        <f>'P01'!$D88</f>
        <v>NT</v>
      </c>
      <c r="E98" s="30" t="e">
        <f>#REF!</f>
        <v>#REF!</v>
      </c>
      <c r="F98" s="30" t="e">
        <f>#REF!</f>
        <v>#REF!</v>
      </c>
      <c r="G98" s="30" t="e">
        <f>#REF!</f>
        <v>#REF!</v>
      </c>
      <c r="H98" s="30" t="e">
        <f>#REF!</f>
        <v>#REF!</v>
      </c>
      <c r="I98" s="30" t="e">
        <f>#REF!</f>
        <v>#REF!</v>
      </c>
      <c r="J98" s="30" t="e">
        <f>#REF!</f>
        <v>#REF!</v>
      </c>
      <c r="K98" s="30" t="e">
        <f>#REF!</f>
        <v>#REF!</v>
      </c>
      <c r="L98" s="30" t="e">
        <f>#REF!</f>
        <v>#REF!</v>
      </c>
      <c r="M98" s="30" t="e">
        <f>#REF!</f>
        <v>#REF!</v>
      </c>
      <c r="N98" s="30" t="e">
        <f>#REF!</f>
        <v>#REF!</v>
      </c>
      <c r="O98" s="30" t="e">
        <f>#REF!</f>
        <v>#REF!</v>
      </c>
      <c r="P98" s="30" t="e">
        <f>#REF!</f>
        <v>#REF!</v>
      </c>
      <c r="Q98" s="30" t="e">
        <f>#REF!</f>
        <v>#REF!</v>
      </c>
      <c r="R98" s="30" t="e">
        <f>#REF!</f>
        <v>#REF!</v>
      </c>
      <c r="S98" s="30" t="e">
        <f>#REF!</f>
        <v>#REF!</v>
      </c>
      <c r="T98" s="30" t="e">
        <f>#REF!</f>
        <v>#REF!</v>
      </c>
      <c r="U98" s="30" t="e">
        <f>#REF!</f>
        <v>#REF!</v>
      </c>
      <c r="V98" s="30" t="e">
        <f>#REF!</f>
        <v>#REF!</v>
      </c>
      <c r="W98" s="30" t="e">
        <f>#REF!</f>
        <v>#REF!</v>
      </c>
      <c r="X98" s="32">
        <f t="shared" si="36"/>
        <v>0</v>
      </c>
      <c r="Y98" s="32">
        <f t="shared" si="37"/>
        <v>0</v>
      </c>
      <c r="Z98" s="32">
        <f t="shared" si="38"/>
        <v>0</v>
      </c>
      <c r="AA98" s="32">
        <f t="shared" si="39"/>
        <v>1</v>
      </c>
      <c r="AB98" t="str">
        <f t="shared" si="40"/>
        <v>NT</v>
      </c>
      <c r="AC98">
        <v>12</v>
      </c>
      <c r="AD98" s="30" t="str">
        <f>Critères!$B98</f>
        <v>12.2</v>
      </c>
      <c r="AE98" s="30" t="str">
        <f>Critères!$A97</f>
        <v>NAVIGATION</v>
      </c>
      <c r="AF98" s="30" t="str">
        <f>'P01'!$E88</f>
        <v>N</v>
      </c>
      <c r="AG98" s="30" t="e">
        <f>#REF!</f>
        <v>#REF!</v>
      </c>
      <c r="AH98" s="30" t="e">
        <f>#REF!</f>
        <v>#REF!</v>
      </c>
      <c r="AI98" s="30" t="e">
        <f>#REF!</f>
        <v>#REF!</v>
      </c>
      <c r="AJ98" s="30" t="e">
        <f>#REF!</f>
        <v>#REF!</v>
      </c>
      <c r="AK98" s="30" t="e">
        <f>#REF!</f>
        <v>#REF!</v>
      </c>
      <c r="AL98" s="30" t="e">
        <f>#REF!</f>
        <v>#REF!</v>
      </c>
      <c r="AM98" s="30" t="e">
        <f>#REF!</f>
        <v>#REF!</v>
      </c>
      <c r="AN98" s="30" t="e">
        <f>#REF!</f>
        <v>#REF!</v>
      </c>
      <c r="AO98" s="30" t="e">
        <f>#REF!</f>
        <v>#REF!</v>
      </c>
      <c r="AP98" s="30" t="e">
        <f>#REF!</f>
        <v>#REF!</v>
      </c>
      <c r="AQ98" s="30" t="e">
        <f>#REF!</f>
        <v>#REF!</v>
      </c>
      <c r="AR98" s="30" t="e">
        <f>#REF!</f>
        <v>#REF!</v>
      </c>
      <c r="AS98" s="30" t="e">
        <f>#REF!</f>
        <v>#REF!</v>
      </c>
      <c r="AT98" s="30" t="e">
        <f>#REF!</f>
        <v>#REF!</v>
      </c>
      <c r="AU98" s="30" t="e">
        <f>#REF!</f>
        <v>#REF!</v>
      </c>
      <c r="AV98" s="30" t="e">
        <f>#REF!</f>
        <v>#REF!</v>
      </c>
      <c r="AW98" s="30" t="e">
        <f>#REF!</f>
        <v>#REF!</v>
      </c>
      <c r="AX98" s="30" t="e">
        <f>#REF!</f>
        <v>#REF!</v>
      </c>
      <c r="AY98" s="30" t="e">
        <f>#REF!</f>
        <v>#REF!</v>
      </c>
      <c r="AZ98" s="32">
        <f t="shared" si="41"/>
        <v>0</v>
      </c>
    </row>
    <row r="99" spans="1:52" ht="15.5">
      <c r="A99">
        <v>12</v>
      </c>
      <c r="B99" s="30" t="str">
        <f>Critères!$B99</f>
        <v>12.3</v>
      </c>
      <c r="C99" s="30" t="str">
        <f>Critères!$A97</f>
        <v>NAVIGATION</v>
      </c>
      <c r="D99" s="30" t="str">
        <f>'P01'!$D89</f>
        <v>NT</v>
      </c>
      <c r="E99" s="30" t="e">
        <f>#REF!</f>
        <v>#REF!</v>
      </c>
      <c r="F99" s="30" t="e">
        <f>#REF!</f>
        <v>#REF!</v>
      </c>
      <c r="G99" s="30" t="e">
        <f>#REF!</f>
        <v>#REF!</v>
      </c>
      <c r="H99" s="30" t="e">
        <f>#REF!</f>
        <v>#REF!</v>
      </c>
      <c r="I99" s="30" t="e">
        <f>#REF!</f>
        <v>#REF!</v>
      </c>
      <c r="J99" s="30" t="e">
        <f>#REF!</f>
        <v>#REF!</v>
      </c>
      <c r="K99" s="30" t="e">
        <f>#REF!</f>
        <v>#REF!</v>
      </c>
      <c r="L99" s="30" t="e">
        <f>#REF!</f>
        <v>#REF!</v>
      </c>
      <c r="M99" s="30" t="e">
        <f>#REF!</f>
        <v>#REF!</v>
      </c>
      <c r="N99" s="30" t="e">
        <f>#REF!</f>
        <v>#REF!</v>
      </c>
      <c r="O99" s="30" t="e">
        <f>#REF!</f>
        <v>#REF!</v>
      </c>
      <c r="P99" s="30" t="e">
        <f>#REF!</f>
        <v>#REF!</v>
      </c>
      <c r="Q99" s="30" t="e">
        <f>#REF!</f>
        <v>#REF!</v>
      </c>
      <c r="R99" s="30" t="e">
        <f>#REF!</f>
        <v>#REF!</v>
      </c>
      <c r="S99" s="30" t="e">
        <f>#REF!</f>
        <v>#REF!</v>
      </c>
      <c r="T99" s="30" t="e">
        <f>#REF!</f>
        <v>#REF!</v>
      </c>
      <c r="U99" s="30" t="e">
        <f>#REF!</f>
        <v>#REF!</v>
      </c>
      <c r="V99" s="30" t="e">
        <f>#REF!</f>
        <v>#REF!</v>
      </c>
      <c r="W99" s="30" t="e">
        <f>#REF!</f>
        <v>#REF!</v>
      </c>
      <c r="X99" s="32">
        <f t="shared" si="36"/>
        <v>0</v>
      </c>
      <c r="Y99" s="32">
        <f t="shared" si="37"/>
        <v>0</v>
      </c>
      <c r="Z99" s="32">
        <f t="shared" si="38"/>
        <v>0</v>
      </c>
      <c r="AA99" s="32">
        <f t="shared" si="39"/>
        <v>1</v>
      </c>
      <c r="AB99" t="str">
        <f t="shared" si="40"/>
        <v>NT</v>
      </c>
      <c r="AC99">
        <v>12</v>
      </c>
      <c r="AD99" s="30" t="str">
        <f>Critères!$B99</f>
        <v>12.3</v>
      </c>
      <c r="AE99" s="30" t="str">
        <f>Critères!$A97</f>
        <v>NAVIGATION</v>
      </c>
      <c r="AF99" s="30" t="str">
        <f>'P01'!$E89</f>
        <v>N</v>
      </c>
      <c r="AG99" s="30" t="e">
        <f>#REF!</f>
        <v>#REF!</v>
      </c>
      <c r="AH99" s="30" t="e">
        <f>#REF!</f>
        <v>#REF!</v>
      </c>
      <c r="AI99" s="30" t="e">
        <f>#REF!</f>
        <v>#REF!</v>
      </c>
      <c r="AJ99" s="30" t="e">
        <f>#REF!</f>
        <v>#REF!</v>
      </c>
      <c r="AK99" s="30" t="e">
        <f>#REF!</f>
        <v>#REF!</v>
      </c>
      <c r="AL99" s="30" t="e">
        <f>#REF!</f>
        <v>#REF!</v>
      </c>
      <c r="AM99" s="30" t="e">
        <f>#REF!</f>
        <v>#REF!</v>
      </c>
      <c r="AN99" s="30" t="e">
        <f>#REF!</f>
        <v>#REF!</v>
      </c>
      <c r="AO99" s="30" t="e">
        <f>#REF!</f>
        <v>#REF!</v>
      </c>
      <c r="AP99" s="30" t="e">
        <f>#REF!</f>
        <v>#REF!</v>
      </c>
      <c r="AQ99" s="30" t="e">
        <f>#REF!</f>
        <v>#REF!</v>
      </c>
      <c r="AR99" s="30" t="e">
        <f>#REF!</f>
        <v>#REF!</v>
      </c>
      <c r="AS99" s="30" t="e">
        <f>#REF!</f>
        <v>#REF!</v>
      </c>
      <c r="AT99" s="30" t="e">
        <f>#REF!</f>
        <v>#REF!</v>
      </c>
      <c r="AU99" s="30" t="e">
        <f>#REF!</f>
        <v>#REF!</v>
      </c>
      <c r="AV99" s="30" t="e">
        <f>#REF!</f>
        <v>#REF!</v>
      </c>
      <c r="AW99" s="30" t="e">
        <f>#REF!</f>
        <v>#REF!</v>
      </c>
      <c r="AX99" s="30" t="e">
        <f>#REF!</f>
        <v>#REF!</v>
      </c>
      <c r="AY99" s="30" t="e">
        <f>#REF!</f>
        <v>#REF!</v>
      </c>
      <c r="AZ99" s="32">
        <f t="shared" si="41"/>
        <v>0</v>
      </c>
    </row>
    <row r="100" spans="1:52" ht="15.5">
      <c r="A100">
        <v>12</v>
      </c>
      <c r="B100" s="30" t="str">
        <f>Critères!$B100</f>
        <v>12.4</v>
      </c>
      <c r="C100" s="30" t="str">
        <f>Critères!$A97</f>
        <v>NAVIGATION</v>
      </c>
      <c r="D100" s="30" t="str">
        <f>'P01'!$D90</f>
        <v>NT</v>
      </c>
      <c r="E100" s="30" t="e">
        <f>#REF!</f>
        <v>#REF!</v>
      </c>
      <c r="F100" s="30" t="e">
        <f>#REF!</f>
        <v>#REF!</v>
      </c>
      <c r="G100" s="30" t="e">
        <f>#REF!</f>
        <v>#REF!</v>
      </c>
      <c r="H100" s="30" t="e">
        <f>#REF!</f>
        <v>#REF!</v>
      </c>
      <c r="I100" s="30" t="e">
        <f>#REF!</f>
        <v>#REF!</v>
      </c>
      <c r="J100" s="30" t="e">
        <f>#REF!</f>
        <v>#REF!</v>
      </c>
      <c r="K100" s="30" t="e">
        <f>#REF!</f>
        <v>#REF!</v>
      </c>
      <c r="L100" s="30" t="e">
        <f>#REF!</f>
        <v>#REF!</v>
      </c>
      <c r="M100" s="30" t="e">
        <f>#REF!</f>
        <v>#REF!</v>
      </c>
      <c r="N100" s="30" t="e">
        <f>#REF!</f>
        <v>#REF!</v>
      </c>
      <c r="O100" s="30" t="e">
        <f>#REF!</f>
        <v>#REF!</v>
      </c>
      <c r="P100" s="30" t="e">
        <f>#REF!</f>
        <v>#REF!</v>
      </c>
      <c r="Q100" s="30" t="e">
        <f>#REF!</f>
        <v>#REF!</v>
      </c>
      <c r="R100" s="30" t="e">
        <f>#REF!</f>
        <v>#REF!</v>
      </c>
      <c r="S100" s="30" t="e">
        <f>#REF!</f>
        <v>#REF!</v>
      </c>
      <c r="T100" s="30" t="e">
        <f>#REF!</f>
        <v>#REF!</v>
      </c>
      <c r="U100" s="30" t="e">
        <f>#REF!</f>
        <v>#REF!</v>
      </c>
      <c r="V100" s="30" t="e">
        <f>#REF!</f>
        <v>#REF!</v>
      </c>
      <c r="W100" s="30" t="e">
        <f>#REF!</f>
        <v>#REF!</v>
      </c>
      <c r="X100" s="32">
        <f t="shared" si="36"/>
        <v>0</v>
      </c>
      <c r="Y100" s="32">
        <f t="shared" si="37"/>
        <v>0</v>
      </c>
      <c r="Z100" s="32">
        <f t="shared" si="38"/>
        <v>0</v>
      </c>
      <c r="AA100" s="32">
        <f t="shared" si="39"/>
        <v>1</v>
      </c>
      <c r="AB100" t="str">
        <f t="shared" si="40"/>
        <v>NT</v>
      </c>
      <c r="AC100">
        <v>12</v>
      </c>
      <c r="AD100" s="30" t="str">
        <f>Critères!$B100</f>
        <v>12.4</v>
      </c>
      <c r="AE100" s="30" t="str">
        <f>Critères!$A97</f>
        <v>NAVIGATION</v>
      </c>
      <c r="AF100" s="30" t="str">
        <f>'P01'!$E90</f>
        <v>N</v>
      </c>
      <c r="AG100" s="30" t="e">
        <f>#REF!</f>
        <v>#REF!</v>
      </c>
      <c r="AH100" s="30" t="e">
        <f>#REF!</f>
        <v>#REF!</v>
      </c>
      <c r="AI100" s="30" t="e">
        <f>#REF!</f>
        <v>#REF!</v>
      </c>
      <c r="AJ100" s="30" t="e">
        <f>#REF!</f>
        <v>#REF!</v>
      </c>
      <c r="AK100" s="30" t="e">
        <f>#REF!</f>
        <v>#REF!</v>
      </c>
      <c r="AL100" s="30" t="e">
        <f>#REF!</f>
        <v>#REF!</v>
      </c>
      <c r="AM100" s="30" t="e">
        <f>#REF!</f>
        <v>#REF!</v>
      </c>
      <c r="AN100" s="30" t="e">
        <f>#REF!</f>
        <v>#REF!</v>
      </c>
      <c r="AO100" s="30" t="e">
        <f>#REF!</f>
        <v>#REF!</v>
      </c>
      <c r="AP100" s="30" t="e">
        <f>#REF!</f>
        <v>#REF!</v>
      </c>
      <c r="AQ100" s="30" t="e">
        <f>#REF!</f>
        <v>#REF!</v>
      </c>
      <c r="AR100" s="30" t="e">
        <f>#REF!</f>
        <v>#REF!</v>
      </c>
      <c r="AS100" s="30" t="e">
        <f>#REF!</f>
        <v>#REF!</v>
      </c>
      <c r="AT100" s="30" t="e">
        <f>#REF!</f>
        <v>#REF!</v>
      </c>
      <c r="AU100" s="30" t="e">
        <f>#REF!</f>
        <v>#REF!</v>
      </c>
      <c r="AV100" s="30" t="e">
        <f>#REF!</f>
        <v>#REF!</v>
      </c>
      <c r="AW100" s="30" t="e">
        <f>#REF!</f>
        <v>#REF!</v>
      </c>
      <c r="AX100" s="30" t="e">
        <f>#REF!</f>
        <v>#REF!</v>
      </c>
      <c r="AY100" s="30" t="e">
        <f>#REF!</f>
        <v>#REF!</v>
      </c>
      <c r="AZ100" s="32">
        <f t="shared" si="41"/>
        <v>0</v>
      </c>
    </row>
    <row r="101" spans="1:52" ht="15.5">
      <c r="A101">
        <v>12</v>
      </c>
      <c r="B101" s="30" t="str">
        <f>Critères!$B101</f>
        <v>12.5</v>
      </c>
      <c r="C101" s="30" t="str">
        <f>Critères!$A97</f>
        <v>NAVIGATION</v>
      </c>
      <c r="D101" s="30" t="str">
        <f>'P01'!$D91</f>
        <v>NT</v>
      </c>
      <c r="E101" s="30" t="e">
        <f>#REF!</f>
        <v>#REF!</v>
      </c>
      <c r="F101" s="30" t="e">
        <f>#REF!</f>
        <v>#REF!</v>
      </c>
      <c r="G101" s="30" t="e">
        <f>#REF!</f>
        <v>#REF!</v>
      </c>
      <c r="H101" s="30" t="e">
        <f>#REF!</f>
        <v>#REF!</v>
      </c>
      <c r="I101" s="30" t="e">
        <f>#REF!</f>
        <v>#REF!</v>
      </c>
      <c r="J101" s="30" t="e">
        <f>#REF!</f>
        <v>#REF!</v>
      </c>
      <c r="K101" s="30" t="e">
        <f>#REF!</f>
        <v>#REF!</v>
      </c>
      <c r="L101" s="30" t="e">
        <f>#REF!</f>
        <v>#REF!</v>
      </c>
      <c r="M101" s="30" t="e">
        <f>#REF!</f>
        <v>#REF!</v>
      </c>
      <c r="N101" s="30" t="e">
        <f>#REF!</f>
        <v>#REF!</v>
      </c>
      <c r="O101" s="30" t="e">
        <f>#REF!</f>
        <v>#REF!</v>
      </c>
      <c r="P101" s="30" t="e">
        <f>#REF!</f>
        <v>#REF!</v>
      </c>
      <c r="Q101" s="30" t="e">
        <f>#REF!</f>
        <v>#REF!</v>
      </c>
      <c r="R101" s="30" t="e">
        <f>#REF!</f>
        <v>#REF!</v>
      </c>
      <c r="S101" s="30" t="e">
        <f>#REF!</f>
        <v>#REF!</v>
      </c>
      <c r="T101" s="30" t="e">
        <f>#REF!</f>
        <v>#REF!</v>
      </c>
      <c r="U101" s="30" t="e">
        <f>#REF!</f>
        <v>#REF!</v>
      </c>
      <c r="V101" s="30" t="e">
        <f>#REF!</f>
        <v>#REF!</v>
      </c>
      <c r="W101" s="30" t="e">
        <f>#REF!</f>
        <v>#REF!</v>
      </c>
      <c r="X101" s="32">
        <f t="shared" si="36"/>
        <v>0</v>
      </c>
      <c r="Y101" s="32">
        <f t="shared" si="37"/>
        <v>0</v>
      </c>
      <c r="Z101" s="32">
        <f t="shared" si="38"/>
        <v>0</v>
      </c>
      <c r="AA101" s="32">
        <f t="shared" si="39"/>
        <v>1</v>
      </c>
      <c r="AB101" t="str">
        <f t="shared" si="40"/>
        <v>NT</v>
      </c>
      <c r="AC101">
        <v>12</v>
      </c>
      <c r="AD101" s="30" t="str">
        <f>Critères!$B101</f>
        <v>12.5</v>
      </c>
      <c r="AE101" s="30" t="str">
        <f>Critères!$A97</f>
        <v>NAVIGATION</v>
      </c>
      <c r="AF101" s="30" t="str">
        <f>'P01'!$E91</f>
        <v>N</v>
      </c>
      <c r="AG101" s="30" t="e">
        <f>#REF!</f>
        <v>#REF!</v>
      </c>
      <c r="AH101" s="30" t="e">
        <f>#REF!</f>
        <v>#REF!</v>
      </c>
      <c r="AI101" s="30" t="e">
        <f>#REF!</f>
        <v>#REF!</v>
      </c>
      <c r="AJ101" s="30" t="e">
        <f>#REF!</f>
        <v>#REF!</v>
      </c>
      <c r="AK101" s="30" t="e">
        <f>#REF!</f>
        <v>#REF!</v>
      </c>
      <c r="AL101" s="30" t="e">
        <f>#REF!</f>
        <v>#REF!</v>
      </c>
      <c r="AM101" s="30" t="e">
        <f>#REF!</f>
        <v>#REF!</v>
      </c>
      <c r="AN101" s="30" t="e">
        <f>#REF!</f>
        <v>#REF!</v>
      </c>
      <c r="AO101" s="30" t="e">
        <f>#REF!</f>
        <v>#REF!</v>
      </c>
      <c r="AP101" s="30" t="e">
        <f>#REF!</f>
        <v>#REF!</v>
      </c>
      <c r="AQ101" s="30" t="e">
        <f>#REF!</f>
        <v>#REF!</v>
      </c>
      <c r="AR101" s="30" t="e">
        <f>#REF!</f>
        <v>#REF!</v>
      </c>
      <c r="AS101" s="30" t="e">
        <f>#REF!</f>
        <v>#REF!</v>
      </c>
      <c r="AT101" s="30" t="e">
        <f>#REF!</f>
        <v>#REF!</v>
      </c>
      <c r="AU101" s="30" t="e">
        <f>#REF!</f>
        <v>#REF!</v>
      </c>
      <c r="AV101" s="30" t="e">
        <f>#REF!</f>
        <v>#REF!</v>
      </c>
      <c r="AW101" s="30" t="e">
        <f>#REF!</f>
        <v>#REF!</v>
      </c>
      <c r="AX101" s="30" t="e">
        <f>#REF!</f>
        <v>#REF!</v>
      </c>
      <c r="AY101" s="30" t="e">
        <f>#REF!</f>
        <v>#REF!</v>
      </c>
      <c r="AZ101" s="32">
        <f t="shared" si="41"/>
        <v>0</v>
      </c>
    </row>
    <row r="102" spans="1:52" ht="15.5">
      <c r="A102">
        <v>12</v>
      </c>
      <c r="B102" s="30" t="str">
        <f>Critères!$B102</f>
        <v>12.6</v>
      </c>
      <c r="C102" s="30" t="str">
        <f>Critères!$A97</f>
        <v>NAVIGATION</v>
      </c>
      <c r="D102" s="30" t="str">
        <f>'P01'!$D92</f>
        <v>NT</v>
      </c>
      <c r="E102" s="30" t="e">
        <f>#REF!</f>
        <v>#REF!</v>
      </c>
      <c r="F102" s="30" t="e">
        <f>#REF!</f>
        <v>#REF!</v>
      </c>
      <c r="G102" s="30" t="e">
        <f>#REF!</f>
        <v>#REF!</v>
      </c>
      <c r="H102" s="30" t="e">
        <f>#REF!</f>
        <v>#REF!</v>
      </c>
      <c r="I102" s="30" t="e">
        <f>#REF!</f>
        <v>#REF!</v>
      </c>
      <c r="J102" s="30" t="e">
        <f>#REF!</f>
        <v>#REF!</v>
      </c>
      <c r="K102" s="30" t="e">
        <f>#REF!</f>
        <v>#REF!</v>
      </c>
      <c r="L102" s="30" t="e">
        <f>#REF!</f>
        <v>#REF!</v>
      </c>
      <c r="M102" s="30" t="e">
        <f>#REF!</f>
        <v>#REF!</v>
      </c>
      <c r="N102" s="30" t="e">
        <f>#REF!</f>
        <v>#REF!</v>
      </c>
      <c r="O102" s="30" t="e">
        <f>#REF!</f>
        <v>#REF!</v>
      </c>
      <c r="P102" s="30" t="e">
        <f>#REF!</f>
        <v>#REF!</v>
      </c>
      <c r="Q102" s="30" t="e">
        <f>#REF!</f>
        <v>#REF!</v>
      </c>
      <c r="R102" s="30" t="e">
        <f>#REF!</f>
        <v>#REF!</v>
      </c>
      <c r="S102" s="30" t="e">
        <f>#REF!</f>
        <v>#REF!</v>
      </c>
      <c r="T102" s="30" t="e">
        <f>#REF!</f>
        <v>#REF!</v>
      </c>
      <c r="U102" s="30" t="e">
        <f>#REF!</f>
        <v>#REF!</v>
      </c>
      <c r="V102" s="30" t="e">
        <f>#REF!</f>
        <v>#REF!</v>
      </c>
      <c r="W102" s="30" t="e">
        <f>#REF!</f>
        <v>#REF!</v>
      </c>
      <c r="X102" s="32">
        <f t="shared" si="36"/>
        <v>0</v>
      </c>
      <c r="Y102" s="32">
        <f t="shared" si="37"/>
        <v>0</v>
      </c>
      <c r="Z102" s="32">
        <f t="shared" si="38"/>
        <v>0</v>
      </c>
      <c r="AA102" s="32">
        <f t="shared" si="39"/>
        <v>1</v>
      </c>
      <c r="AB102" t="str">
        <f t="shared" si="40"/>
        <v>NT</v>
      </c>
      <c r="AC102">
        <v>12</v>
      </c>
      <c r="AD102" s="30" t="str">
        <f>Critères!$B102</f>
        <v>12.6</v>
      </c>
      <c r="AE102" s="30" t="str">
        <f>Critères!$A97</f>
        <v>NAVIGATION</v>
      </c>
      <c r="AF102" s="30" t="str">
        <f>'P01'!$E92</f>
        <v>N</v>
      </c>
      <c r="AG102" s="30" t="e">
        <f>#REF!</f>
        <v>#REF!</v>
      </c>
      <c r="AH102" s="30" t="e">
        <f>#REF!</f>
        <v>#REF!</v>
      </c>
      <c r="AI102" s="30" t="e">
        <f>#REF!</f>
        <v>#REF!</v>
      </c>
      <c r="AJ102" s="30" t="e">
        <f>#REF!</f>
        <v>#REF!</v>
      </c>
      <c r="AK102" s="30" t="e">
        <f>#REF!</f>
        <v>#REF!</v>
      </c>
      <c r="AL102" s="30" t="e">
        <f>#REF!</f>
        <v>#REF!</v>
      </c>
      <c r="AM102" s="30" t="e">
        <f>#REF!</f>
        <v>#REF!</v>
      </c>
      <c r="AN102" s="30" t="e">
        <f>#REF!</f>
        <v>#REF!</v>
      </c>
      <c r="AO102" s="30" t="e">
        <f>#REF!</f>
        <v>#REF!</v>
      </c>
      <c r="AP102" s="30" t="e">
        <f>#REF!</f>
        <v>#REF!</v>
      </c>
      <c r="AQ102" s="30" t="e">
        <f>#REF!</f>
        <v>#REF!</v>
      </c>
      <c r="AR102" s="30" t="e">
        <f>#REF!</f>
        <v>#REF!</v>
      </c>
      <c r="AS102" s="30" t="e">
        <f>#REF!</f>
        <v>#REF!</v>
      </c>
      <c r="AT102" s="30" t="e">
        <f>#REF!</f>
        <v>#REF!</v>
      </c>
      <c r="AU102" s="30" t="e">
        <f>#REF!</f>
        <v>#REF!</v>
      </c>
      <c r="AV102" s="30" t="e">
        <f>#REF!</f>
        <v>#REF!</v>
      </c>
      <c r="AW102" s="30" t="e">
        <f>#REF!</f>
        <v>#REF!</v>
      </c>
      <c r="AX102" s="30" t="e">
        <f>#REF!</f>
        <v>#REF!</v>
      </c>
      <c r="AY102" s="30" t="e">
        <f>#REF!</f>
        <v>#REF!</v>
      </c>
      <c r="AZ102" s="32">
        <f t="shared" si="41"/>
        <v>0</v>
      </c>
    </row>
    <row r="103" spans="1:52" ht="15.5">
      <c r="A103">
        <v>12</v>
      </c>
      <c r="B103" s="30" t="str">
        <f>Critères!$B103</f>
        <v>12.7</v>
      </c>
      <c r="C103" s="30" t="str">
        <f>Critères!$A97</f>
        <v>NAVIGATION</v>
      </c>
      <c r="D103" s="30" t="str">
        <f>'P01'!$D93</f>
        <v>NT</v>
      </c>
      <c r="E103" s="30" t="e">
        <f>#REF!</f>
        <v>#REF!</v>
      </c>
      <c r="F103" s="30" t="e">
        <f>#REF!</f>
        <v>#REF!</v>
      </c>
      <c r="G103" s="30" t="e">
        <f>#REF!</f>
        <v>#REF!</v>
      </c>
      <c r="H103" s="30" t="e">
        <f>#REF!</f>
        <v>#REF!</v>
      </c>
      <c r="I103" s="30" t="e">
        <f>#REF!</f>
        <v>#REF!</v>
      </c>
      <c r="J103" s="30" t="e">
        <f>#REF!</f>
        <v>#REF!</v>
      </c>
      <c r="K103" s="30" t="e">
        <f>#REF!</f>
        <v>#REF!</v>
      </c>
      <c r="L103" s="30" t="e">
        <f>#REF!</f>
        <v>#REF!</v>
      </c>
      <c r="M103" s="30" t="e">
        <f>#REF!</f>
        <v>#REF!</v>
      </c>
      <c r="N103" s="30" t="e">
        <f>#REF!</f>
        <v>#REF!</v>
      </c>
      <c r="O103" s="30" t="e">
        <f>#REF!</f>
        <v>#REF!</v>
      </c>
      <c r="P103" s="30" t="e">
        <f>#REF!</f>
        <v>#REF!</v>
      </c>
      <c r="Q103" s="30" t="e">
        <f>#REF!</f>
        <v>#REF!</v>
      </c>
      <c r="R103" s="30" t="e">
        <f>#REF!</f>
        <v>#REF!</v>
      </c>
      <c r="S103" s="30" t="e">
        <f>#REF!</f>
        <v>#REF!</v>
      </c>
      <c r="T103" s="30" t="e">
        <f>#REF!</f>
        <v>#REF!</v>
      </c>
      <c r="U103" s="30" t="e">
        <f>#REF!</f>
        <v>#REF!</v>
      </c>
      <c r="V103" s="30" t="e">
        <f>#REF!</f>
        <v>#REF!</v>
      </c>
      <c r="W103" s="30" t="e">
        <f>#REF!</f>
        <v>#REF!</v>
      </c>
      <c r="X103" s="32">
        <f t="shared" si="36"/>
        <v>0</v>
      </c>
      <c r="Y103" s="32">
        <f t="shared" si="37"/>
        <v>0</v>
      </c>
      <c r="Z103" s="32">
        <f t="shared" si="38"/>
        <v>0</v>
      </c>
      <c r="AA103" s="32">
        <f t="shared" si="39"/>
        <v>1</v>
      </c>
      <c r="AB103" t="str">
        <f t="shared" si="40"/>
        <v>NT</v>
      </c>
      <c r="AC103">
        <v>12</v>
      </c>
      <c r="AD103" s="30" t="str">
        <f>Critères!$B103</f>
        <v>12.7</v>
      </c>
      <c r="AE103" s="30" t="str">
        <f>Critères!$A97</f>
        <v>NAVIGATION</v>
      </c>
      <c r="AF103" s="30" t="str">
        <f>'P01'!$E93</f>
        <v>N</v>
      </c>
      <c r="AG103" s="30" t="e">
        <f>#REF!</f>
        <v>#REF!</v>
      </c>
      <c r="AH103" s="30" t="e">
        <f>#REF!</f>
        <v>#REF!</v>
      </c>
      <c r="AI103" s="30" t="e">
        <f>#REF!</f>
        <v>#REF!</v>
      </c>
      <c r="AJ103" s="30" t="e">
        <f>#REF!</f>
        <v>#REF!</v>
      </c>
      <c r="AK103" s="30" t="e">
        <f>#REF!</f>
        <v>#REF!</v>
      </c>
      <c r="AL103" s="30" t="e">
        <f>#REF!</f>
        <v>#REF!</v>
      </c>
      <c r="AM103" s="30" t="e">
        <f>#REF!</f>
        <v>#REF!</v>
      </c>
      <c r="AN103" s="30" t="e">
        <f>#REF!</f>
        <v>#REF!</v>
      </c>
      <c r="AO103" s="30" t="e">
        <f>#REF!</f>
        <v>#REF!</v>
      </c>
      <c r="AP103" s="30" t="e">
        <f>#REF!</f>
        <v>#REF!</v>
      </c>
      <c r="AQ103" s="30" t="e">
        <f>#REF!</f>
        <v>#REF!</v>
      </c>
      <c r="AR103" s="30" t="e">
        <f>#REF!</f>
        <v>#REF!</v>
      </c>
      <c r="AS103" s="30" t="e">
        <f>#REF!</f>
        <v>#REF!</v>
      </c>
      <c r="AT103" s="30" t="e">
        <f>#REF!</f>
        <v>#REF!</v>
      </c>
      <c r="AU103" s="30" t="e">
        <f>#REF!</f>
        <v>#REF!</v>
      </c>
      <c r="AV103" s="30" t="e">
        <f>#REF!</f>
        <v>#REF!</v>
      </c>
      <c r="AW103" s="30" t="e">
        <f>#REF!</f>
        <v>#REF!</v>
      </c>
      <c r="AX103" s="30" t="e">
        <f>#REF!</f>
        <v>#REF!</v>
      </c>
      <c r="AY103" s="30" t="e">
        <f>#REF!</f>
        <v>#REF!</v>
      </c>
      <c r="AZ103" s="32">
        <f t="shared" si="41"/>
        <v>0</v>
      </c>
    </row>
    <row r="104" spans="1:52" ht="15.5">
      <c r="A104">
        <v>12</v>
      </c>
      <c r="B104" s="30" t="str">
        <f>Critères!$B104</f>
        <v>12.8</v>
      </c>
      <c r="C104" s="30" t="str">
        <f>Critères!$A97</f>
        <v>NAVIGATION</v>
      </c>
      <c r="D104" s="30" t="str">
        <f>'P01'!$D94</f>
        <v>NT</v>
      </c>
      <c r="E104" s="30" t="e">
        <f>#REF!</f>
        <v>#REF!</v>
      </c>
      <c r="F104" s="30" t="e">
        <f>#REF!</f>
        <v>#REF!</v>
      </c>
      <c r="G104" s="30" t="e">
        <f>#REF!</f>
        <v>#REF!</v>
      </c>
      <c r="H104" s="30" t="e">
        <f>#REF!</f>
        <v>#REF!</v>
      </c>
      <c r="I104" s="30" t="e">
        <f>#REF!</f>
        <v>#REF!</v>
      </c>
      <c r="J104" s="30" t="e">
        <f>#REF!</f>
        <v>#REF!</v>
      </c>
      <c r="K104" s="30" t="e">
        <f>#REF!</f>
        <v>#REF!</v>
      </c>
      <c r="L104" s="30" t="e">
        <f>#REF!</f>
        <v>#REF!</v>
      </c>
      <c r="M104" s="30" t="e">
        <f>#REF!</f>
        <v>#REF!</v>
      </c>
      <c r="N104" s="30" t="e">
        <f>#REF!</f>
        <v>#REF!</v>
      </c>
      <c r="O104" s="30" t="e">
        <f>#REF!</f>
        <v>#REF!</v>
      </c>
      <c r="P104" s="30" t="e">
        <f>#REF!</f>
        <v>#REF!</v>
      </c>
      <c r="Q104" s="30" t="e">
        <f>#REF!</f>
        <v>#REF!</v>
      </c>
      <c r="R104" s="30" t="e">
        <f>#REF!</f>
        <v>#REF!</v>
      </c>
      <c r="S104" s="30" t="e">
        <f>#REF!</f>
        <v>#REF!</v>
      </c>
      <c r="T104" s="30" t="e">
        <f>#REF!</f>
        <v>#REF!</v>
      </c>
      <c r="U104" s="30" t="e">
        <f>#REF!</f>
        <v>#REF!</v>
      </c>
      <c r="V104" s="30" t="e">
        <f>#REF!</f>
        <v>#REF!</v>
      </c>
      <c r="W104" s="30" t="e">
        <f>#REF!</f>
        <v>#REF!</v>
      </c>
      <c r="X104" s="32">
        <f t="shared" si="36"/>
        <v>0</v>
      </c>
      <c r="Y104" s="32">
        <f t="shared" si="37"/>
        <v>0</v>
      </c>
      <c r="Z104" s="32">
        <f t="shared" si="38"/>
        <v>0</v>
      </c>
      <c r="AA104" s="32">
        <f t="shared" si="39"/>
        <v>1</v>
      </c>
      <c r="AB104" t="str">
        <f t="shared" si="40"/>
        <v>NT</v>
      </c>
      <c r="AC104">
        <v>12</v>
      </c>
      <c r="AD104" s="30" t="str">
        <f>Critères!$B104</f>
        <v>12.8</v>
      </c>
      <c r="AE104" s="30" t="str">
        <f>Critères!$A97</f>
        <v>NAVIGATION</v>
      </c>
      <c r="AF104" s="30" t="str">
        <f>'P01'!$E94</f>
        <v>N</v>
      </c>
      <c r="AG104" s="30" t="e">
        <f>#REF!</f>
        <v>#REF!</v>
      </c>
      <c r="AH104" s="30" t="e">
        <f>#REF!</f>
        <v>#REF!</v>
      </c>
      <c r="AI104" s="30" t="e">
        <f>#REF!</f>
        <v>#REF!</v>
      </c>
      <c r="AJ104" s="30" t="e">
        <f>#REF!</f>
        <v>#REF!</v>
      </c>
      <c r="AK104" s="30" t="e">
        <f>#REF!</f>
        <v>#REF!</v>
      </c>
      <c r="AL104" s="30" t="e">
        <f>#REF!</f>
        <v>#REF!</v>
      </c>
      <c r="AM104" s="30" t="e">
        <f>#REF!</f>
        <v>#REF!</v>
      </c>
      <c r="AN104" s="30" t="e">
        <f>#REF!</f>
        <v>#REF!</v>
      </c>
      <c r="AO104" s="30" t="e">
        <f>#REF!</f>
        <v>#REF!</v>
      </c>
      <c r="AP104" s="30" t="e">
        <f>#REF!</f>
        <v>#REF!</v>
      </c>
      <c r="AQ104" s="30" t="e">
        <f>#REF!</f>
        <v>#REF!</v>
      </c>
      <c r="AR104" s="30" t="e">
        <f>#REF!</f>
        <v>#REF!</v>
      </c>
      <c r="AS104" s="30" t="e">
        <f>#REF!</f>
        <v>#REF!</v>
      </c>
      <c r="AT104" s="30" t="e">
        <f>#REF!</f>
        <v>#REF!</v>
      </c>
      <c r="AU104" s="30" t="e">
        <f>#REF!</f>
        <v>#REF!</v>
      </c>
      <c r="AV104" s="30" t="e">
        <f>#REF!</f>
        <v>#REF!</v>
      </c>
      <c r="AW104" s="30" t="e">
        <f>#REF!</f>
        <v>#REF!</v>
      </c>
      <c r="AX104" s="30" t="e">
        <f>#REF!</f>
        <v>#REF!</v>
      </c>
      <c r="AY104" s="30" t="e">
        <f>#REF!</f>
        <v>#REF!</v>
      </c>
      <c r="AZ104" s="32">
        <f t="shared" si="41"/>
        <v>0</v>
      </c>
    </row>
    <row r="105" spans="1:52" ht="15.5">
      <c r="A105">
        <v>12</v>
      </c>
      <c r="B105" s="30" t="str">
        <f>Critères!$B105</f>
        <v>12.9</v>
      </c>
      <c r="C105" s="30" t="str">
        <f>Critères!$A97</f>
        <v>NAVIGATION</v>
      </c>
      <c r="D105" s="30" t="str">
        <f>'P01'!$D95</f>
        <v>NT</v>
      </c>
      <c r="E105" s="30" t="e">
        <f>#REF!</f>
        <v>#REF!</v>
      </c>
      <c r="F105" s="30" t="e">
        <f>#REF!</f>
        <v>#REF!</v>
      </c>
      <c r="G105" s="30" t="e">
        <f>#REF!</f>
        <v>#REF!</v>
      </c>
      <c r="H105" s="30" t="e">
        <f>#REF!</f>
        <v>#REF!</v>
      </c>
      <c r="I105" s="30" t="e">
        <f>#REF!</f>
        <v>#REF!</v>
      </c>
      <c r="J105" s="30" t="e">
        <f>#REF!</f>
        <v>#REF!</v>
      </c>
      <c r="K105" s="30" t="e">
        <f>#REF!</f>
        <v>#REF!</v>
      </c>
      <c r="L105" s="30" t="e">
        <f>#REF!</f>
        <v>#REF!</v>
      </c>
      <c r="M105" s="30" t="e">
        <f>#REF!</f>
        <v>#REF!</v>
      </c>
      <c r="N105" s="30" t="e">
        <f>#REF!</f>
        <v>#REF!</v>
      </c>
      <c r="O105" s="30" t="e">
        <f>#REF!</f>
        <v>#REF!</v>
      </c>
      <c r="P105" s="30" t="e">
        <f>#REF!</f>
        <v>#REF!</v>
      </c>
      <c r="Q105" s="30" t="e">
        <f>#REF!</f>
        <v>#REF!</v>
      </c>
      <c r="R105" s="30" t="e">
        <f>#REF!</f>
        <v>#REF!</v>
      </c>
      <c r="S105" s="30" t="e">
        <f>#REF!</f>
        <v>#REF!</v>
      </c>
      <c r="T105" s="30" t="e">
        <f>#REF!</f>
        <v>#REF!</v>
      </c>
      <c r="U105" s="30" t="e">
        <f>#REF!</f>
        <v>#REF!</v>
      </c>
      <c r="V105" s="30" t="e">
        <f>#REF!</f>
        <v>#REF!</v>
      </c>
      <c r="W105" s="30" t="e">
        <f>#REF!</f>
        <v>#REF!</v>
      </c>
      <c r="X105" s="32">
        <f t="shared" si="36"/>
        <v>0</v>
      </c>
      <c r="Y105" s="32">
        <f t="shared" si="37"/>
        <v>0</v>
      </c>
      <c r="Z105" s="32">
        <f t="shared" si="38"/>
        <v>0</v>
      </c>
      <c r="AA105" s="32">
        <f t="shared" si="39"/>
        <v>1</v>
      </c>
      <c r="AB105" t="str">
        <f t="shared" si="40"/>
        <v>NT</v>
      </c>
      <c r="AC105">
        <v>12</v>
      </c>
      <c r="AD105" s="30" t="str">
        <f>Critères!$B105</f>
        <v>12.9</v>
      </c>
      <c r="AE105" s="30" t="str">
        <f>Critères!$A97</f>
        <v>NAVIGATION</v>
      </c>
      <c r="AF105" s="30" t="str">
        <f>'P01'!$E95</f>
        <v>N</v>
      </c>
      <c r="AG105" s="30" t="e">
        <f>#REF!</f>
        <v>#REF!</v>
      </c>
      <c r="AH105" s="30" t="e">
        <f>#REF!</f>
        <v>#REF!</v>
      </c>
      <c r="AI105" s="30" t="e">
        <f>#REF!</f>
        <v>#REF!</v>
      </c>
      <c r="AJ105" s="30" t="e">
        <f>#REF!</f>
        <v>#REF!</v>
      </c>
      <c r="AK105" s="30" t="e">
        <f>#REF!</f>
        <v>#REF!</v>
      </c>
      <c r="AL105" s="30" t="e">
        <f>#REF!</f>
        <v>#REF!</v>
      </c>
      <c r="AM105" s="30" t="e">
        <f>#REF!</f>
        <v>#REF!</v>
      </c>
      <c r="AN105" s="30" t="e">
        <f>#REF!</f>
        <v>#REF!</v>
      </c>
      <c r="AO105" s="30" t="e">
        <f>#REF!</f>
        <v>#REF!</v>
      </c>
      <c r="AP105" s="30" t="e">
        <f>#REF!</f>
        <v>#REF!</v>
      </c>
      <c r="AQ105" s="30" t="e">
        <f>#REF!</f>
        <v>#REF!</v>
      </c>
      <c r="AR105" s="30" t="e">
        <f>#REF!</f>
        <v>#REF!</v>
      </c>
      <c r="AS105" s="30" t="e">
        <f>#REF!</f>
        <v>#REF!</v>
      </c>
      <c r="AT105" s="30" t="e">
        <f>#REF!</f>
        <v>#REF!</v>
      </c>
      <c r="AU105" s="30" t="e">
        <f>#REF!</f>
        <v>#REF!</v>
      </c>
      <c r="AV105" s="30" t="e">
        <f>#REF!</f>
        <v>#REF!</v>
      </c>
      <c r="AW105" s="30" t="e">
        <f>#REF!</f>
        <v>#REF!</v>
      </c>
      <c r="AX105" s="30" t="e">
        <f>#REF!</f>
        <v>#REF!</v>
      </c>
      <c r="AY105" s="30" t="e">
        <f>#REF!</f>
        <v>#REF!</v>
      </c>
      <c r="AZ105" s="32">
        <f t="shared" si="41"/>
        <v>0</v>
      </c>
    </row>
    <row r="106" spans="1:52" ht="15.5">
      <c r="A106">
        <v>12</v>
      </c>
      <c r="B106" s="30" t="str">
        <f>Critères!$B106</f>
        <v>12.10</v>
      </c>
      <c r="C106" s="30" t="str">
        <f>Critères!$A97</f>
        <v>NAVIGATION</v>
      </c>
      <c r="D106" s="30" t="str">
        <f>'P01'!$D96</f>
        <v>NT</v>
      </c>
      <c r="E106" s="30" t="e">
        <f>#REF!</f>
        <v>#REF!</v>
      </c>
      <c r="F106" s="30" t="e">
        <f>#REF!</f>
        <v>#REF!</v>
      </c>
      <c r="G106" s="30" t="e">
        <f>#REF!</f>
        <v>#REF!</v>
      </c>
      <c r="H106" s="30" t="e">
        <f>#REF!</f>
        <v>#REF!</v>
      </c>
      <c r="I106" s="30" t="e">
        <f>#REF!</f>
        <v>#REF!</v>
      </c>
      <c r="J106" s="30" t="e">
        <f>#REF!</f>
        <v>#REF!</v>
      </c>
      <c r="K106" s="30" t="e">
        <f>#REF!</f>
        <v>#REF!</v>
      </c>
      <c r="L106" s="30" t="e">
        <f>#REF!</f>
        <v>#REF!</v>
      </c>
      <c r="M106" s="30" t="e">
        <f>#REF!</f>
        <v>#REF!</v>
      </c>
      <c r="N106" s="30" t="e">
        <f>#REF!</f>
        <v>#REF!</v>
      </c>
      <c r="O106" s="30" t="e">
        <f>#REF!</f>
        <v>#REF!</v>
      </c>
      <c r="P106" s="30" t="e">
        <f>#REF!</f>
        <v>#REF!</v>
      </c>
      <c r="Q106" s="30" t="e">
        <f>#REF!</f>
        <v>#REF!</v>
      </c>
      <c r="R106" s="30" t="e">
        <f>#REF!</f>
        <v>#REF!</v>
      </c>
      <c r="S106" s="30" t="e">
        <f>#REF!</f>
        <v>#REF!</v>
      </c>
      <c r="T106" s="30" t="e">
        <f>#REF!</f>
        <v>#REF!</v>
      </c>
      <c r="U106" s="30" t="e">
        <f>#REF!</f>
        <v>#REF!</v>
      </c>
      <c r="V106" s="30" t="e">
        <f>#REF!</f>
        <v>#REF!</v>
      </c>
      <c r="W106" s="30" t="e">
        <f>#REF!</f>
        <v>#REF!</v>
      </c>
      <c r="X106" s="32">
        <f t="shared" si="36"/>
        <v>0</v>
      </c>
      <c r="Y106" s="32">
        <f t="shared" si="37"/>
        <v>0</v>
      </c>
      <c r="Z106" s="32">
        <f t="shared" si="38"/>
        <v>0</v>
      </c>
      <c r="AA106" s="32">
        <f t="shared" si="39"/>
        <v>1</v>
      </c>
      <c r="AB106" t="str">
        <f t="shared" si="40"/>
        <v>NT</v>
      </c>
      <c r="AC106">
        <v>12</v>
      </c>
      <c r="AD106" s="30" t="str">
        <f>Critères!$B106</f>
        <v>12.10</v>
      </c>
      <c r="AE106" s="30" t="str">
        <f>Critères!$A97</f>
        <v>NAVIGATION</v>
      </c>
      <c r="AF106" s="30" t="str">
        <f>'P01'!$E96</f>
        <v>N</v>
      </c>
      <c r="AG106" s="30" t="e">
        <f>#REF!</f>
        <v>#REF!</v>
      </c>
      <c r="AH106" s="30" t="e">
        <f>#REF!</f>
        <v>#REF!</v>
      </c>
      <c r="AI106" s="30" t="e">
        <f>#REF!</f>
        <v>#REF!</v>
      </c>
      <c r="AJ106" s="30" t="e">
        <f>#REF!</f>
        <v>#REF!</v>
      </c>
      <c r="AK106" s="30" t="e">
        <f>#REF!</f>
        <v>#REF!</v>
      </c>
      <c r="AL106" s="30" t="e">
        <f>#REF!</f>
        <v>#REF!</v>
      </c>
      <c r="AM106" s="30" t="e">
        <f>#REF!</f>
        <v>#REF!</v>
      </c>
      <c r="AN106" s="30" t="e">
        <f>#REF!</f>
        <v>#REF!</v>
      </c>
      <c r="AO106" s="30" t="e">
        <f>#REF!</f>
        <v>#REF!</v>
      </c>
      <c r="AP106" s="30" t="e">
        <f>#REF!</f>
        <v>#REF!</v>
      </c>
      <c r="AQ106" s="30" t="e">
        <f>#REF!</f>
        <v>#REF!</v>
      </c>
      <c r="AR106" s="30" t="e">
        <f>#REF!</f>
        <v>#REF!</v>
      </c>
      <c r="AS106" s="30" t="e">
        <f>#REF!</f>
        <v>#REF!</v>
      </c>
      <c r="AT106" s="30" t="e">
        <f>#REF!</f>
        <v>#REF!</v>
      </c>
      <c r="AU106" s="30" t="e">
        <f>#REF!</f>
        <v>#REF!</v>
      </c>
      <c r="AV106" s="30" t="e">
        <f>#REF!</f>
        <v>#REF!</v>
      </c>
      <c r="AW106" s="30" t="e">
        <f>#REF!</f>
        <v>#REF!</v>
      </c>
      <c r="AX106" s="30" t="e">
        <f>#REF!</f>
        <v>#REF!</v>
      </c>
      <c r="AY106" s="30" t="e">
        <f>#REF!</f>
        <v>#REF!</v>
      </c>
      <c r="AZ106" s="32">
        <f t="shared" si="41"/>
        <v>0</v>
      </c>
    </row>
    <row r="107" spans="1:52" ht="15.5">
      <c r="A107">
        <v>12</v>
      </c>
      <c r="B107" s="30" t="str">
        <f>Critères!$B107</f>
        <v>12.11</v>
      </c>
      <c r="C107" s="30" t="str">
        <f>Critères!$A97</f>
        <v>NAVIGATION</v>
      </c>
      <c r="D107" s="30" t="str">
        <f>'P01'!$D97</f>
        <v>NT</v>
      </c>
      <c r="E107" s="30" t="e">
        <f>#REF!</f>
        <v>#REF!</v>
      </c>
      <c r="F107" s="30" t="e">
        <f>#REF!</f>
        <v>#REF!</v>
      </c>
      <c r="G107" s="30" t="e">
        <f>#REF!</f>
        <v>#REF!</v>
      </c>
      <c r="H107" s="30" t="e">
        <f>#REF!</f>
        <v>#REF!</v>
      </c>
      <c r="I107" s="30" t="e">
        <f>#REF!</f>
        <v>#REF!</v>
      </c>
      <c r="J107" s="30" t="e">
        <f>#REF!</f>
        <v>#REF!</v>
      </c>
      <c r="K107" s="30" t="e">
        <f>#REF!</f>
        <v>#REF!</v>
      </c>
      <c r="L107" s="30" t="e">
        <f>#REF!</f>
        <v>#REF!</v>
      </c>
      <c r="M107" s="30" t="e">
        <f>#REF!</f>
        <v>#REF!</v>
      </c>
      <c r="N107" s="30" t="e">
        <f>#REF!</f>
        <v>#REF!</v>
      </c>
      <c r="O107" s="30" t="e">
        <f>#REF!</f>
        <v>#REF!</v>
      </c>
      <c r="P107" s="30" t="e">
        <f>#REF!</f>
        <v>#REF!</v>
      </c>
      <c r="Q107" s="30" t="e">
        <f>#REF!</f>
        <v>#REF!</v>
      </c>
      <c r="R107" s="30" t="e">
        <f>#REF!</f>
        <v>#REF!</v>
      </c>
      <c r="S107" s="30" t="e">
        <f>#REF!</f>
        <v>#REF!</v>
      </c>
      <c r="T107" s="30" t="e">
        <f>#REF!</f>
        <v>#REF!</v>
      </c>
      <c r="U107" s="30" t="e">
        <f>#REF!</f>
        <v>#REF!</v>
      </c>
      <c r="V107" s="30" t="e">
        <f>#REF!</f>
        <v>#REF!</v>
      </c>
      <c r="W107" s="30" t="e">
        <f>#REF!</f>
        <v>#REF!</v>
      </c>
      <c r="X107" s="32">
        <f t="shared" si="36"/>
        <v>0</v>
      </c>
      <c r="Y107" s="32">
        <f t="shared" si="37"/>
        <v>0</v>
      </c>
      <c r="Z107" s="32">
        <f t="shared" si="38"/>
        <v>0</v>
      </c>
      <c r="AA107" s="32">
        <f t="shared" si="39"/>
        <v>1</v>
      </c>
      <c r="AB107" t="str">
        <f t="shared" si="40"/>
        <v>NT</v>
      </c>
      <c r="AC107">
        <v>12</v>
      </c>
      <c r="AD107" s="30" t="str">
        <f>Critères!$B107</f>
        <v>12.11</v>
      </c>
      <c r="AE107" s="30" t="str">
        <f>Critères!$A97</f>
        <v>NAVIGATION</v>
      </c>
      <c r="AF107" s="30" t="str">
        <f>'P01'!$E97</f>
        <v>N</v>
      </c>
      <c r="AG107" s="30" t="e">
        <f>#REF!</f>
        <v>#REF!</v>
      </c>
      <c r="AH107" s="30" t="e">
        <f>#REF!</f>
        <v>#REF!</v>
      </c>
      <c r="AI107" s="30" t="e">
        <f>#REF!</f>
        <v>#REF!</v>
      </c>
      <c r="AJ107" s="30" t="e">
        <f>#REF!</f>
        <v>#REF!</v>
      </c>
      <c r="AK107" s="30" t="e">
        <f>#REF!</f>
        <v>#REF!</v>
      </c>
      <c r="AL107" s="30" t="e">
        <f>#REF!</f>
        <v>#REF!</v>
      </c>
      <c r="AM107" s="30" t="e">
        <f>#REF!</f>
        <v>#REF!</v>
      </c>
      <c r="AN107" s="30" t="e">
        <f>#REF!</f>
        <v>#REF!</v>
      </c>
      <c r="AO107" s="30" t="e">
        <f>#REF!</f>
        <v>#REF!</v>
      </c>
      <c r="AP107" s="30" t="e">
        <f>#REF!</f>
        <v>#REF!</v>
      </c>
      <c r="AQ107" s="30" t="e">
        <f>#REF!</f>
        <v>#REF!</v>
      </c>
      <c r="AR107" s="30" t="e">
        <f>#REF!</f>
        <v>#REF!</v>
      </c>
      <c r="AS107" s="30" t="e">
        <f>#REF!</f>
        <v>#REF!</v>
      </c>
      <c r="AT107" s="30" t="e">
        <f>#REF!</f>
        <v>#REF!</v>
      </c>
      <c r="AU107" s="30" t="e">
        <f>#REF!</f>
        <v>#REF!</v>
      </c>
      <c r="AV107" s="30" t="e">
        <f>#REF!</f>
        <v>#REF!</v>
      </c>
      <c r="AW107" s="30" t="e">
        <f>#REF!</f>
        <v>#REF!</v>
      </c>
      <c r="AX107" s="30" t="e">
        <f>#REF!</f>
        <v>#REF!</v>
      </c>
      <c r="AY107" s="30" t="e">
        <f>#REF!</f>
        <v>#REF!</v>
      </c>
      <c r="AZ107" s="32">
        <f t="shared" si="41"/>
        <v>0</v>
      </c>
    </row>
    <row r="108" spans="1:52" ht="15.5">
      <c r="A108" s="3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6">
        <f>SUM(X97:X107)</f>
        <v>0</v>
      </c>
      <c r="Y108" s="36">
        <f>SUM(Y97:Y107)</f>
        <v>0</v>
      </c>
      <c r="Z108" s="36">
        <f>SUM(Z97:Z107)</f>
        <v>0</v>
      </c>
      <c r="AA108" s="36">
        <f>SUM(AA97:AA107)</f>
        <v>11</v>
      </c>
      <c r="AC108" s="3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6">
        <f>SUM(AZ97:AZ107)</f>
        <v>0</v>
      </c>
    </row>
    <row r="109" spans="1:52" ht="15.5">
      <c r="A109">
        <v>13</v>
      </c>
      <c r="B109" s="30" t="str">
        <f>Critères!$B109</f>
        <v>13.1</v>
      </c>
      <c r="C109" s="30" t="str">
        <f>Critères!$A109</f>
        <v>CONSULTATION</v>
      </c>
      <c r="D109" s="30" t="str">
        <f>'P01'!$D98</f>
        <v>NT</v>
      </c>
      <c r="E109" s="30" t="e">
        <f>#REF!</f>
        <v>#REF!</v>
      </c>
      <c r="F109" s="30" t="e">
        <f>#REF!</f>
        <v>#REF!</v>
      </c>
      <c r="G109" s="30" t="e">
        <f>#REF!</f>
        <v>#REF!</v>
      </c>
      <c r="H109" s="30" t="e">
        <f>#REF!</f>
        <v>#REF!</v>
      </c>
      <c r="I109" s="30" t="e">
        <f>#REF!</f>
        <v>#REF!</v>
      </c>
      <c r="J109" s="30" t="e">
        <f>#REF!</f>
        <v>#REF!</v>
      </c>
      <c r="K109" s="30" t="e">
        <f>#REF!</f>
        <v>#REF!</v>
      </c>
      <c r="L109" s="30" t="e">
        <f>#REF!</f>
        <v>#REF!</v>
      </c>
      <c r="M109" s="30" t="e">
        <f>#REF!</f>
        <v>#REF!</v>
      </c>
      <c r="N109" s="30" t="e">
        <f>#REF!</f>
        <v>#REF!</v>
      </c>
      <c r="O109" s="30" t="e">
        <f>#REF!</f>
        <v>#REF!</v>
      </c>
      <c r="P109" s="30" t="e">
        <f>#REF!</f>
        <v>#REF!</v>
      </c>
      <c r="Q109" s="30" t="e">
        <f>#REF!</f>
        <v>#REF!</v>
      </c>
      <c r="R109" s="30" t="e">
        <f>#REF!</f>
        <v>#REF!</v>
      </c>
      <c r="S109" s="30" t="e">
        <f>#REF!</f>
        <v>#REF!</v>
      </c>
      <c r="T109" s="30" t="e">
        <f>#REF!</f>
        <v>#REF!</v>
      </c>
      <c r="U109" s="30" t="e">
        <f>#REF!</f>
        <v>#REF!</v>
      </c>
      <c r="V109" s="30" t="e">
        <f>#REF!</f>
        <v>#REF!</v>
      </c>
      <c r="W109" s="30" t="e">
        <f>#REF!</f>
        <v>#REF!</v>
      </c>
      <c r="X109" s="32">
        <f t="shared" ref="X109:X120" si="42">COUNTIF(D109:W109,"C")</f>
        <v>0</v>
      </c>
      <c r="Y109" s="32">
        <f t="shared" ref="Y109:Y120" si="43">COUNTIF(D109:W109,"NC")</f>
        <v>0</v>
      </c>
      <c r="Z109" s="32">
        <f t="shared" ref="Z109:Z120" si="44">COUNTIF(D109:W109,"NA")</f>
        <v>0</v>
      </c>
      <c r="AA109" s="32">
        <f t="shared" ref="AA109:AA120" si="45">COUNTIF(D109:W109,"NT")</f>
        <v>1</v>
      </c>
      <c r="AB109" t="str">
        <f t="shared" ref="AB109:AB120" si="46">IF(Y109&gt;0,"NC",IF(X109&gt;0,"C",IF(AA109&gt;0,"NT","NA")))</f>
        <v>NT</v>
      </c>
      <c r="AC109">
        <v>13</v>
      </c>
      <c r="AD109" s="30" t="str">
        <f>Critères!$B109</f>
        <v>13.1</v>
      </c>
      <c r="AE109" s="30" t="str">
        <f>Critères!$A109</f>
        <v>CONSULTATION</v>
      </c>
      <c r="AF109" s="30" t="str">
        <f>'P01'!$E98</f>
        <v>N</v>
      </c>
      <c r="AG109" s="30" t="e">
        <f>#REF!</f>
        <v>#REF!</v>
      </c>
      <c r="AH109" s="30" t="e">
        <f>#REF!</f>
        <v>#REF!</v>
      </c>
      <c r="AI109" s="30" t="e">
        <f>#REF!</f>
        <v>#REF!</v>
      </c>
      <c r="AJ109" s="30" t="e">
        <f>#REF!</f>
        <v>#REF!</v>
      </c>
      <c r="AK109" s="30" t="e">
        <f>#REF!</f>
        <v>#REF!</v>
      </c>
      <c r="AL109" s="30" t="e">
        <f>#REF!</f>
        <v>#REF!</v>
      </c>
      <c r="AM109" s="30" t="e">
        <f>#REF!</f>
        <v>#REF!</v>
      </c>
      <c r="AN109" s="30" t="e">
        <f>#REF!</f>
        <v>#REF!</v>
      </c>
      <c r="AO109" s="30" t="e">
        <f>#REF!</f>
        <v>#REF!</v>
      </c>
      <c r="AP109" s="30" t="e">
        <f>#REF!</f>
        <v>#REF!</v>
      </c>
      <c r="AQ109" s="30" t="e">
        <f>#REF!</f>
        <v>#REF!</v>
      </c>
      <c r="AR109" s="30" t="e">
        <f>#REF!</f>
        <v>#REF!</v>
      </c>
      <c r="AS109" s="30" t="e">
        <f>#REF!</f>
        <v>#REF!</v>
      </c>
      <c r="AT109" s="30" t="e">
        <f>#REF!</f>
        <v>#REF!</v>
      </c>
      <c r="AU109" s="30" t="e">
        <f>#REF!</f>
        <v>#REF!</v>
      </c>
      <c r="AV109" s="30" t="e">
        <f>#REF!</f>
        <v>#REF!</v>
      </c>
      <c r="AW109" s="30" t="e">
        <f>#REF!</f>
        <v>#REF!</v>
      </c>
      <c r="AX109" s="30" t="e">
        <f>#REF!</f>
        <v>#REF!</v>
      </c>
      <c r="AY109" s="30" t="e">
        <f>#REF!</f>
        <v>#REF!</v>
      </c>
      <c r="AZ109" s="32">
        <f t="shared" ref="AZ109:AZ120" si="47">COUNTIF(AF109:AY109,"D")</f>
        <v>0</v>
      </c>
    </row>
    <row r="110" spans="1:52" ht="15.5">
      <c r="A110">
        <v>13</v>
      </c>
      <c r="B110" s="30" t="str">
        <f>Critères!$B110</f>
        <v>13.2</v>
      </c>
      <c r="C110" s="30" t="str">
        <f>Critères!$A109</f>
        <v>CONSULTATION</v>
      </c>
      <c r="D110" s="30" t="str">
        <f>'P01'!$D99</f>
        <v>NT</v>
      </c>
      <c r="E110" s="30" t="e">
        <f>#REF!</f>
        <v>#REF!</v>
      </c>
      <c r="F110" s="30" t="e">
        <f>#REF!</f>
        <v>#REF!</v>
      </c>
      <c r="G110" s="30" t="e">
        <f>#REF!</f>
        <v>#REF!</v>
      </c>
      <c r="H110" s="30" t="e">
        <f>#REF!</f>
        <v>#REF!</v>
      </c>
      <c r="I110" s="30" t="e">
        <f>#REF!</f>
        <v>#REF!</v>
      </c>
      <c r="J110" s="30" t="e">
        <f>#REF!</f>
        <v>#REF!</v>
      </c>
      <c r="K110" s="30" t="e">
        <f>#REF!</f>
        <v>#REF!</v>
      </c>
      <c r="L110" s="30" t="e">
        <f>#REF!</f>
        <v>#REF!</v>
      </c>
      <c r="M110" s="30" t="e">
        <f>#REF!</f>
        <v>#REF!</v>
      </c>
      <c r="N110" s="30" t="e">
        <f>#REF!</f>
        <v>#REF!</v>
      </c>
      <c r="O110" s="30" t="e">
        <f>#REF!</f>
        <v>#REF!</v>
      </c>
      <c r="P110" s="30" t="e">
        <f>#REF!</f>
        <v>#REF!</v>
      </c>
      <c r="Q110" s="30" t="e">
        <f>#REF!</f>
        <v>#REF!</v>
      </c>
      <c r="R110" s="30" t="e">
        <f>#REF!</f>
        <v>#REF!</v>
      </c>
      <c r="S110" s="30" t="e">
        <f>#REF!</f>
        <v>#REF!</v>
      </c>
      <c r="T110" s="30" t="e">
        <f>#REF!</f>
        <v>#REF!</v>
      </c>
      <c r="U110" s="30" t="e">
        <f>#REF!</f>
        <v>#REF!</v>
      </c>
      <c r="V110" s="30" t="e">
        <f>#REF!</f>
        <v>#REF!</v>
      </c>
      <c r="W110" s="30" t="e">
        <f>#REF!</f>
        <v>#REF!</v>
      </c>
      <c r="X110" s="32">
        <f t="shared" si="42"/>
        <v>0</v>
      </c>
      <c r="Y110" s="32">
        <f t="shared" si="43"/>
        <v>0</v>
      </c>
      <c r="Z110" s="32">
        <f t="shared" si="44"/>
        <v>0</v>
      </c>
      <c r="AA110" s="32">
        <f t="shared" si="45"/>
        <v>1</v>
      </c>
      <c r="AB110" t="str">
        <f t="shared" si="46"/>
        <v>NT</v>
      </c>
      <c r="AC110">
        <v>13</v>
      </c>
      <c r="AD110" s="30" t="str">
        <f>Critères!$B110</f>
        <v>13.2</v>
      </c>
      <c r="AE110" s="30" t="str">
        <f>Critères!$A109</f>
        <v>CONSULTATION</v>
      </c>
      <c r="AF110" s="30" t="str">
        <f>'P01'!$E99</f>
        <v>N</v>
      </c>
      <c r="AG110" s="30" t="e">
        <f>#REF!</f>
        <v>#REF!</v>
      </c>
      <c r="AH110" s="30" t="e">
        <f>#REF!</f>
        <v>#REF!</v>
      </c>
      <c r="AI110" s="30" t="e">
        <f>#REF!</f>
        <v>#REF!</v>
      </c>
      <c r="AJ110" s="30" t="e">
        <f>#REF!</f>
        <v>#REF!</v>
      </c>
      <c r="AK110" s="30" t="e">
        <f>#REF!</f>
        <v>#REF!</v>
      </c>
      <c r="AL110" s="30" t="e">
        <f>#REF!</f>
        <v>#REF!</v>
      </c>
      <c r="AM110" s="30" t="e">
        <f>#REF!</f>
        <v>#REF!</v>
      </c>
      <c r="AN110" s="30" t="e">
        <f>#REF!</f>
        <v>#REF!</v>
      </c>
      <c r="AO110" s="30" t="e">
        <f>#REF!</f>
        <v>#REF!</v>
      </c>
      <c r="AP110" s="30" t="e">
        <f>#REF!</f>
        <v>#REF!</v>
      </c>
      <c r="AQ110" s="30" t="e">
        <f>#REF!</f>
        <v>#REF!</v>
      </c>
      <c r="AR110" s="30" t="e">
        <f>#REF!</f>
        <v>#REF!</v>
      </c>
      <c r="AS110" s="30" t="e">
        <f>#REF!</f>
        <v>#REF!</v>
      </c>
      <c r="AT110" s="30" t="e">
        <f>#REF!</f>
        <v>#REF!</v>
      </c>
      <c r="AU110" s="30" t="e">
        <f>#REF!</f>
        <v>#REF!</v>
      </c>
      <c r="AV110" s="30" t="e">
        <f>#REF!</f>
        <v>#REF!</v>
      </c>
      <c r="AW110" s="30" t="e">
        <f>#REF!</f>
        <v>#REF!</v>
      </c>
      <c r="AX110" s="30" t="e">
        <f>#REF!</f>
        <v>#REF!</v>
      </c>
      <c r="AY110" s="30" t="e">
        <f>#REF!</f>
        <v>#REF!</v>
      </c>
      <c r="AZ110" s="32">
        <f t="shared" si="47"/>
        <v>0</v>
      </c>
    </row>
    <row r="111" spans="1:52" ht="15.5">
      <c r="A111">
        <v>13</v>
      </c>
      <c r="B111" s="30" t="str">
        <f>Critères!$B111</f>
        <v>13.3</v>
      </c>
      <c r="C111" s="30" t="str">
        <f>Critères!$A109</f>
        <v>CONSULTATION</v>
      </c>
      <c r="D111" s="30" t="str">
        <f>'P01'!$D100</f>
        <v>NT</v>
      </c>
      <c r="E111" s="30" t="e">
        <f>#REF!</f>
        <v>#REF!</v>
      </c>
      <c r="F111" s="30" t="e">
        <f>#REF!</f>
        <v>#REF!</v>
      </c>
      <c r="G111" s="30" t="e">
        <f>#REF!</f>
        <v>#REF!</v>
      </c>
      <c r="H111" s="30" t="e">
        <f>#REF!</f>
        <v>#REF!</v>
      </c>
      <c r="I111" s="30" t="e">
        <f>#REF!</f>
        <v>#REF!</v>
      </c>
      <c r="J111" s="30" t="e">
        <f>#REF!</f>
        <v>#REF!</v>
      </c>
      <c r="K111" s="30" t="e">
        <f>#REF!</f>
        <v>#REF!</v>
      </c>
      <c r="L111" s="30" t="e">
        <f>#REF!</f>
        <v>#REF!</v>
      </c>
      <c r="M111" s="30" t="e">
        <f>#REF!</f>
        <v>#REF!</v>
      </c>
      <c r="N111" s="30" t="e">
        <f>#REF!</f>
        <v>#REF!</v>
      </c>
      <c r="O111" s="30" t="e">
        <f>#REF!</f>
        <v>#REF!</v>
      </c>
      <c r="P111" s="30" t="e">
        <f>#REF!</f>
        <v>#REF!</v>
      </c>
      <c r="Q111" s="30" t="e">
        <f>#REF!</f>
        <v>#REF!</v>
      </c>
      <c r="R111" s="30" t="e">
        <f>#REF!</f>
        <v>#REF!</v>
      </c>
      <c r="S111" s="30" t="e">
        <f>#REF!</f>
        <v>#REF!</v>
      </c>
      <c r="T111" s="30" t="e">
        <f>#REF!</f>
        <v>#REF!</v>
      </c>
      <c r="U111" s="30" t="e">
        <f>#REF!</f>
        <v>#REF!</v>
      </c>
      <c r="V111" s="30" t="e">
        <f>#REF!</f>
        <v>#REF!</v>
      </c>
      <c r="W111" s="30" t="e">
        <f>#REF!</f>
        <v>#REF!</v>
      </c>
      <c r="X111" s="32">
        <f t="shared" si="42"/>
        <v>0</v>
      </c>
      <c r="Y111" s="32">
        <f t="shared" si="43"/>
        <v>0</v>
      </c>
      <c r="Z111" s="32">
        <f t="shared" si="44"/>
        <v>0</v>
      </c>
      <c r="AA111" s="32">
        <f t="shared" si="45"/>
        <v>1</v>
      </c>
      <c r="AB111" t="str">
        <f t="shared" si="46"/>
        <v>NT</v>
      </c>
      <c r="AC111">
        <v>13</v>
      </c>
      <c r="AD111" s="30" t="str">
        <f>Critères!$B111</f>
        <v>13.3</v>
      </c>
      <c r="AE111" s="30" t="str">
        <f>Critères!$A109</f>
        <v>CONSULTATION</v>
      </c>
      <c r="AF111" s="30" t="str">
        <f>'P01'!$E100</f>
        <v>N</v>
      </c>
      <c r="AG111" s="30" t="e">
        <f>#REF!</f>
        <v>#REF!</v>
      </c>
      <c r="AH111" s="30" t="e">
        <f>#REF!</f>
        <v>#REF!</v>
      </c>
      <c r="AI111" s="30" t="e">
        <f>#REF!</f>
        <v>#REF!</v>
      </c>
      <c r="AJ111" s="30" t="e">
        <f>#REF!</f>
        <v>#REF!</v>
      </c>
      <c r="AK111" s="30" t="e">
        <f>#REF!</f>
        <v>#REF!</v>
      </c>
      <c r="AL111" s="30" t="e">
        <f>#REF!</f>
        <v>#REF!</v>
      </c>
      <c r="AM111" s="30" t="e">
        <f>#REF!</f>
        <v>#REF!</v>
      </c>
      <c r="AN111" s="30" t="e">
        <f>#REF!</f>
        <v>#REF!</v>
      </c>
      <c r="AO111" s="30" t="e">
        <f>#REF!</f>
        <v>#REF!</v>
      </c>
      <c r="AP111" s="30" t="e">
        <f>#REF!</f>
        <v>#REF!</v>
      </c>
      <c r="AQ111" s="30" t="e">
        <f>#REF!</f>
        <v>#REF!</v>
      </c>
      <c r="AR111" s="30" t="e">
        <f>#REF!</f>
        <v>#REF!</v>
      </c>
      <c r="AS111" s="30" t="e">
        <f>#REF!</f>
        <v>#REF!</v>
      </c>
      <c r="AT111" s="30" t="e">
        <f>#REF!</f>
        <v>#REF!</v>
      </c>
      <c r="AU111" s="30" t="e">
        <f>#REF!</f>
        <v>#REF!</v>
      </c>
      <c r="AV111" s="30" t="e">
        <f>#REF!</f>
        <v>#REF!</v>
      </c>
      <c r="AW111" s="30" t="e">
        <f>#REF!</f>
        <v>#REF!</v>
      </c>
      <c r="AX111" s="30" t="e">
        <f>#REF!</f>
        <v>#REF!</v>
      </c>
      <c r="AY111" s="30" t="e">
        <f>#REF!</f>
        <v>#REF!</v>
      </c>
      <c r="AZ111" s="32">
        <f t="shared" si="47"/>
        <v>0</v>
      </c>
    </row>
    <row r="112" spans="1:52" ht="15.5">
      <c r="A112">
        <v>13</v>
      </c>
      <c r="B112" s="30" t="str">
        <f>Critères!$B112</f>
        <v>13.4</v>
      </c>
      <c r="C112" s="30" t="str">
        <f>Critères!$A109</f>
        <v>CONSULTATION</v>
      </c>
      <c r="D112" s="30" t="str">
        <f>'P01'!$D101</f>
        <v>NT</v>
      </c>
      <c r="E112" s="30" t="e">
        <f>#REF!</f>
        <v>#REF!</v>
      </c>
      <c r="F112" s="30" t="e">
        <f>#REF!</f>
        <v>#REF!</v>
      </c>
      <c r="G112" s="30" t="e">
        <f>#REF!</f>
        <v>#REF!</v>
      </c>
      <c r="H112" s="30" t="e">
        <f>#REF!</f>
        <v>#REF!</v>
      </c>
      <c r="I112" s="30" t="e">
        <f>#REF!</f>
        <v>#REF!</v>
      </c>
      <c r="J112" s="30" t="e">
        <f>#REF!</f>
        <v>#REF!</v>
      </c>
      <c r="K112" s="30" t="e">
        <f>#REF!</f>
        <v>#REF!</v>
      </c>
      <c r="L112" s="30" t="e">
        <f>#REF!</f>
        <v>#REF!</v>
      </c>
      <c r="M112" s="30" t="e">
        <f>#REF!</f>
        <v>#REF!</v>
      </c>
      <c r="N112" s="30" t="e">
        <f>#REF!</f>
        <v>#REF!</v>
      </c>
      <c r="O112" s="30" t="e">
        <f>#REF!</f>
        <v>#REF!</v>
      </c>
      <c r="P112" s="30" t="e">
        <f>#REF!</f>
        <v>#REF!</v>
      </c>
      <c r="Q112" s="30" t="e">
        <f>#REF!</f>
        <v>#REF!</v>
      </c>
      <c r="R112" s="30" t="e">
        <f>#REF!</f>
        <v>#REF!</v>
      </c>
      <c r="S112" s="30" t="e">
        <f>#REF!</f>
        <v>#REF!</v>
      </c>
      <c r="T112" s="30" t="e">
        <f>#REF!</f>
        <v>#REF!</v>
      </c>
      <c r="U112" s="30" t="e">
        <f>#REF!</f>
        <v>#REF!</v>
      </c>
      <c r="V112" s="30" t="e">
        <f>#REF!</f>
        <v>#REF!</v>
      </c>
      <c r="W112" s="30" t="e">
        <f>#REF!</f>
        <v>#REF!</v>
      </c>
      <c r="X112" s="32">
        <f t="shared" si="42"/>
        <v>0</v>
      </c>
      <c r="Y112" s="32">
        <f t="shared" si="43"/>
        <v>0</v>
      </c>
      <c r="Z112" s="32">
        <f t="shared" si="44"/>
        <v>0</v>
      </c>
      <c r="AA112" s="32">
        <f t="shared" si="45"/>
        <v>1</v>
      </c>
      <c r="AB112" t="str">
        <f t="shared" si="46"/>
        <v>NT</v>
      </c>
      <c r="AC112">
        <v>13</v>
      </c>
      <c r="AD112" s="30" t="str">
        <f>Critères!$B112</f>
        <v>13.4</v>
      </c>
      <c r="AE112" s="30" t="str">
        <f>Critères!$A109</f>
        <v>CONSULTATION</v>
      </c>
      <c r="AF112" s="30" t="str">
        <f>'P01'!$E101</f>
        <v>N</v>
      </c>
      <c r="AG112" s="30" t="e">
        <f>#REF!</f>
        <v>#REF!</v>
      </c>
      <c r="AH112" s="30" t="e">
        <f>#REF!</f>
        <v>#REF!</v>
      </c>
      <c r="AI112" s="30" t="e">
        <f>#REF!</f>
        <v>#REF!</v>
      </c>
      <c r="AJ112" s="30" t="e">
        <f>#REF!</f>
        <v>#REF!</v>
      </c>
      <c r="AK112" s="30" t="e">
        <f>#REF!</f>
        <v>#REF!</v>
      </c>
      <c r="AL112" s="30" t="e">
        <f>#REF!</f>
        <v>#REF!</v>
      </c>
      <c r="AM112" s="30" t="e">
        <f>#REF!</f>
        <v>#REF!</v>
      </c>
      <c r="AN112" s="30" t="e">
        <f>#REF!</f>
        <v>#REF!</v>
      </c>
      <c r="AO112" s="30" t="e">
        <f>#REF!</f>
        <v>#REF!</v>
      </c>
      <c r="AP112" s="30" t="e">
        <f>#REF!</f>
        <v>#REF!</v>
      </c>
      <c r="AQ112" s="30" t="e">
        <f>#REF!</f>
        <v>#REF!</v>
      </c>
      <c r="AR112" s="30" t="e">
        <f>#REF!</f>
        <v>#REF!</v>
      </c>
      <c r="AS112" s="30" t="e">
        <f>#REF!</f>
        <v>#REF!</v>
      </c>
      <c r="AT112" s="30" t="e">
        <f>#REF!</f>
        <v>#REF!</v>
      </c>
      <c r="AU112" s="30" t="e">
        <f>#REF!</f>
        <v>#REF!</v>
      </c>
      <c r="AV112" s="30" t="e">
        <f>#REF!</f>
        <v>#REF!</v>
      </c>
      <c r="AW112" s="30" t="e">
        <f>#REF!</f>
        <v>#REF!</v>
      </c>
      <c r="AX112" s="30" t="e">
        <f>#REF!</f>
        <v>#REF!</v>
      </c>
      <c r="AY112" s="30" t="e">
        <f>#REF!</f>
        <v>#REF!</v>
      </c>
      <c r="AZ112" s="32">
        <f t="shared" si="47"/>
        <v>0</v>
      </c>
    </row>
    <row r="113" spans="1:64" ht="15.5">
      <c r="A113">
        <v>13</v>
      </c>
      <c r="B113" s="30" t="str">
        <f>Critères!$B113</f>
        <v>13.5</v>
      </c>
      <c r="C113" s="30" t="str">
        <f>Critères!$A109</f>
        <v>CONSULTATION</v>
      </c>
      <c r="D113" s="30" t="str">
        <f>'P01'!$D102</f>
        <v>NT</v>
      </c>
      <c r="E113" s="30" t="e">
        <f>#REF!</f>
        <v>#REF!</v>
      </c>
      <c r="F113" s="30" t="e">
        <f>#REF!</f>
        <v>#REF!</v>
      </c>
      <c r="G113" s="30" t="e">
        <f>#REF!</f>
        <v>#REF!</v>
      </c>
      <c r="H113" s="30" t="e">
        <f>#REF!</f>
        <v>#REF!</v>
      </c>
      <c r="I113" s="30" t="e">
        <f>#REF!</f>
        <v>#REF!</v>
      </c>
      <c r="J113" s="30" t="e">
        <f>#REF!</f>
        <v>#REF!</v>
      </c>
      <c r="K113" s="30" t="e">
        <f>#REF!</f>
        <v>#REF!</v>
      </c>
      <c r="L113" s="30" t="e">
        <f>#REF!</f>
        <v>#REF!</v>
      </c>
      <c r="M113" s="30" t="e">
        <f>#REF!</f>
        <v>#REF!</v>
      </c>
      <c r="N113" s="30" t="e">
        <f>#REF!</f>
        <v>#REF!</v>
      </c>
      <c r="O113" s="30" t="e">
        <f>#REF!</f>
        <v>#REF!</v>
      </c>
      <c r="P113" s="30" t="e">
        <f>#REF!</f>
        <v>#REF!</v>
      </c>
      <c r="Q113" s="30" t="e">
        <f>#REF!</f>
        <v>#REF!</v>
      </c>
      <c r="R113" s="30" t="e">
        <f>#REF!</f>
        <v>#REF!</v>
      </c>
      <c r="S113" s="30" t="e">
        <f>#REF!</f>
        <v>#REF!</v>
      </c>
      <c r="T113" s="30" t="e">
        <f>#REF!</f>
        <v>#REF!</v>
      </c>
      <c r="U113" s="30" t="e">
        <f>#REF!</f>
        <v>#REF!</v>
      </c>
      <c r="V113" s="30" t="e">
        <f>#REF!</f>
        <v>#REF!</v>
      </c>
      <c r="W113" s="30" t="e">
        <f>#REF!</f>
        <v>#REF!</v>
      </c>
      <c r="X113" s="32">
        <f t="shared" si="42"/>
        <v>0</v>
      </c>
      <c r="Y113" s="32">
        <f t="shared" si="43"/>
        <v>0</v>
      </c>
      <c r="Z113" s="32">
        <f t="shared" si="44"/>
        <v>0</v>
      </c>
      <c r="AA113" s="32">
        <f t="shared" si="45"/>
        <v>1</v>
      </c>
      <c r="AB113" t="str">
        <f t="shared" si="46"/>
        <v>NT</v>
      </c>
      <c r="AC113">
        <v>13</v>
      </c>
      <c r="AD113" s="30" t="str">
        <f>Critères!$B113</f>
        <v>13.5</v>
      </c>
      <c r="AE113" s="30" t="str">
        <f>Critères!$A109</f>
        <v>CONSULTATION</v>
      </c>
      <c r="AF113" s="30" t="str">
        <f>'P01'!$E102</f>
        <v>N</v>
      </c>
      <c r="AG113" s="30" t="e">
        <f>#REF!</f>
        <v>#REF!</v>
      </c>
      <c r="AH113" s="30" t="e">
        <f>#REF!</f>
        <v>#REF!</v>
      </c>
      <c r="AI113" s="30" t="e">
        <f>#REF!</f>
        <v>#REF!</v>
      </c>
      <c r="AJ113" s="30" t="e">
        <f>#REF!</f>
        <v>#REF!</v>
      </c>
      <c r="AK113" s="30" t="e">
        <f>#REF!</f>
        <v>#REF!</v>
      </c>
      <c r="AL113" s="30" t="e">
        <f>#REF!</f>
        <v>#REF!</v>
      </c>
      <c r="AM113" s="30" t="e">
        <f>#REF!</f>
        <v>#REF!</v>
      </c>
      <c r="AN113" s="30" t="e">
        <f>#REF!</f>
        <v>#REF!</v>
      </c>
      <c r="AO113" s="30" t="e">
        <f>#REF!</f>
        <v>#REF!</v>
      </c>
      <c r="AP113" s="30" t="e">
        <f>#REF!</f>
        <v>#REF!</v>
      </c>
      <c r="AQ113" s="30" t="e">
        <f>#REF!</f>
        <v>#REF!</v>
      </c>
      <c r="AR113" s="30" t="e">
        <f>#REF!</f>
        <v>#REF!</v>
      </c>
      <c r="AS113" s="30" t="e">
        <f>#REF!</f>
        <v>#REF!</v>
      </c>
      <c r="AT113" s="30" t="e">
        <f>#REF!</f>
        <v>#REF!</v>
      </c>
      <c r="AU113" s="30" t="e">
        <f>#REF!</f>
        <v>#REF!</v>
      </c>
      <c r="AV113" s="30" t="e">
        <f>#REF!</f>
        <v>#REF!</v>
      </c>
      <c r="AW113" s="30" t="e">
        <f>#REF!</f>
        <v>#REF!</v>
      </c>
      <c r="AX113" s="30" t="e">
        <f>#REF!</f>
        <v>#REF!</v>
      </c>
      <c r="AY113" s="30" t="e">
        <f>#REF!</f>
        <v>#REF!</v>
      </c>
      <c r="AZ113" s="32">
        <f t="shared" si="47"/>
        <v>0</v>
      </c>
    </row>
    <row r="114" spans="1:64" ht="15.5">
      <c r="A114">
        <v>13</v>
      </c>
      <c r="B114" s="30" t="str">
        <f>Critères!$B114</f>
        <v>13.6</v>
      </c>
      <c r="C114" s="30" t="str">
        <f>Critères!$A109</f>
        <v>CONSULTATION</v>
      </c>
      <c r="D114" s="30" t="str">
        <f>'P01'!$D103</f>
        <v>NT</v>
      </c>
      <c r="E114" s="30" t="e">
        <f>#REF!</f>
        <v>#REF!</v>
      </c>
      <c r="F114" s="30" t="e">
        <f>#REF!</f>
        <v>#REF!</v>
      </c>
      <c r="G114" s="30" t="e">
        <f>#REF!</f>
        <v>#REF!</v>
      </c>
      <c r="H114" s="30" t="e">
        <f>#REF!</f>
        <v>#REF!</v>
      </c>
      <c r="I114" s="30" t="e">
        <f>#REF!</f>
        <v>#REF!</v>
      </c>
      <c r="J114" s="30" t="e">
        <f>#REF!</f>
        <v>#REF!</v>
      </c>
      <c r="K114" s="30" t="e">
        <f>#REF!</f>
        <v>#REF!</v>
      </c>
      <c r="L114" s="30" t="e">
        <f>#REF!</f>
        <v>#REF!</v>
      </c>
      <c r="M114" s="30" t="e">
        <f>#REF!</f>
        <v>#REF!</v>
      </c>
      <c r="N114" s="30" t="e">
        <f>#REF!</f>
        <v>#REF!</v>
      </c>
      <c r="O114" s="30" t="e">
        <f>#REF!</f>
        <v>#REF!</v>
      </c>
      <c r="P114" s="30" t="e">
        <f>#REF!</f>
        <v>#REF!</v>
      </c>
      <c r="Q114" s="30" t="e">
        <f>#REF!</f>
        <v>#REF!</v>
      </c>
      <c r="R114" s="30" t="e">
        <f>#REF!</f>
        <v>#REF!</v>
      </c>
      <c r="S114" s="30" t="e">
        <f>#REF!</f>
        <v>#REF!</v>
      </c>
      <c r="T114" s="30" t="e">
        <f>#REF!</f>
        <v>#REF!</v>
      </c>
      <c r="U114" s="30" t="e">
        <f>#REF!</f>
        <v>#REF!</v>
      </c>
      <c r="V114" s="30" t="e">
        <f>#REF!</f>
        <v>#REF!</v>
      </c>
      <c r="W114" s="30" t="e">
        <f>#REF!</f>
        <v>#REF!</v>
      </c>
      <c r="X114" s="32">
        <f t="shared" si="42"/>
        <v>0</v>
      </c>
      <c r="Y114" s="32">
        <f t="shared" si="43"/>
        <v>0</v>
      </c>
      <c r="Z114" s="32">
        <f t="shared" si="44"/>
        <v>0</v>
      </c>
      <c r="AA114" s="32">
        <f t="shared" si="45"/>
        <v>1</v>
      </c>
      <c r="AB114" t="str">
        <f t="shared" si="46"/>
        <v>NT</v>
      </c>
      <c r="AC114">
        <v>13</v>
      </c>
      <c r="AD114" s="30" t="str">
        <f>Critères!$B114</f>
        <v>13.6</v>
      </c>
      <c r="AE114" s="30" t="str">
        <f>Critères!$A109</f>
        <v>CONSULTATION</v>
      </c>
      <c r="AF114" s="30" t="str">
        <f>'P01'!$E103</f>
        <v>N</v>
      </c>
      <c r="AG114" s="30" t="e">
        <f>#REF!</f>
        <v>#REF!</v>
      </c>
      <c r="AH114" s="30" t="e">
        <f>#REF!</f>
        <v>#REF!</v>
      </c>
      <c r="AI114" s="30" t="e">
        <f>#REF!</f>
        <v>#REF!</v>
      </c>
      <c r="AJ114" s="30" t="e">
        <f>#REF!</f>
        <v>#REF!</v>
      </c>
      <c r="AK114" s="30" t="e">
        <f>#REF!</f>
        <v>#REF!</v>
      </c>
      <c r="AL114" s="30" t="e">
        <f>#REF!</f>
        <v>#REF!</v>
      </c>
      <c r="AM114" s="30" t="e">
        <f>#REF!</f>
        <v>#REF!</v>
      </c>
      <c r="AN114" s="30" t="e">
        <f>#REF!</f>
        <v>#REF!</v>
      </c>
      <c r="AO114" s="30" t="e">
        <f>#REF!</f>
        <v>#REF!</v>
      </c>
      <c r="AP114" s="30" t="e">
        <f>#REF!</f>
        <v>#REF!</v>
      </c>
      <c r="AQ114" s="30" t="e">
        <f>#REF!</f>
        <v>#REF!</v>
      </c>
      <c r="AR114" s="30" t="e">
        <f>#REF!</f>
        <v>#REF!</v>
      </c>
      <c r="AS114" s="30" t="e">
        <f>#REF!</f>
        <v>#REF!</v>
      </c>
      <c r="AT114" s="30" t="e">
        <f>#REF!</f>
        <v>#REF!</v>
      </c>
      <c r="AU114" s="30" t="e">
        <f>#REF!</f>
        <v>#REF!</v>
      </c>
      <c r="AV114" s="30" t="e">
        <f>#REF!</f>
        <v>#REF!</v>
      </c>
      <c r="AW114" s="30" t="e">
        <f>#REF!</f>
        <v>#REF!</v>
      </c>
      <c r="AX114" s="30" t="e">
        <f>#REF!</f>
        <v>#REF!</v>
      </c>
      <c r="AY114" s="30" t="e">
        <f>#REF!</f>
        <v>#REF!</v>
      </c>
      <c r="AZ114" s="32">
        <f t="shared" si="47"/>
        <v>0</v>
      </c>
    </row>
    <row r="115" spans="1:64" ht="15.5">
      <c r="A115">
        <v>13</v>
      </c>
      <c r="B115" s="30" t="str">
        <f>Critères!$B115</f>
        <v>13.7</v>
      </c>
      <c r="C115" s="30" t="str">
        <f>Critères!$A109</f>
        <v>CONSULTATION</v>
      </c>
      <c r="D115" s="30" t="str">
        <f>'P01'!$D104</f>
        <v>NT</v>
      </c>
      <c r="E115" s="30" t="e">
        <f>#REF!</f>
        <v>#REF!</v>
      </c>
      <c r="F115" s="30" t="e">
        <f>#REF!</f>
        <v>#REF!</v>
      </c>
      <c r="G115" s="30" t="e">
        <f>#REF!</f>
        <v>#REF!</v>
      </c>
      <c r="H115" s="30" t="e">
        <f>#REF!</f>
        <v>#REF!</v>
      </c>
      <c r="I115" s="30" t="e">
        <f>#REF!</f>
        <v>#REF!</v>
      </c>
      <c r="J115" s="30" t="e">
        <f>#REF!</f>
        <v>#REF!</v>
      </c>
      <c r="K115" s="30" t="e">
        <f>#REF!</f>
        <v>#REF!</v>
      </c>
      <c r="L115" s="30" t="e">
        <f>#REF!</f>
        <v>#REF!</v>
      </c>
      <c r="M115" s="30" t="e">
        <f>#REF!</f>
        <v>#REF!</v>
      </c>
      <c r="N115" s="30" t="e">
        <f>#REF!</f>
        <v>#REF!</v>
      </c>
      <c r="O115" s="30" t="e">
        <f>#REF!</f>
        <v>#REF!</v>
      </c>
      <c r="P115" s="30" t="e">
        <f>#REF!</f>
        <v>#REF!</v>
      </c>
      <c r="Q115" s="30" t="e">
        <f>#REF!</f>
        <v>#REF!</v>
      </c>
      <c r="R115" s="30" t="e">
        <f>#REF!</f>
        <v>#REF!</v>
      </c>
      <c r="S115" s="30" t="e">
        <f>#REF!</f>
        <v>#REF!</v>
      </c>
      <c r="T115" s="30" t="e">
        <f>#REF!</f>
        <v>#REF!</v>
      </c>
      <c r="U115" s="30" t="e">
        <f>#REF!</f>
        <v>#REF!</v>
      </c>
      <c r="V115" s="30" t="e">
        <f>#REF!</f>
        <v>#REF!</v>
      </c>
      <c r="W115" s="30" t="e">
        <f>#REF!</f>
        <v>#REF!</v>
      </c>
      <c r="X115" s="32">
        <f t="shared" si="42"/>
        <v>0</v>
      </c>
      <c r="Y115" s="32">
        <f t="shared" si="43"/>
        <v>0</v>
      </c>
      <c r="Z115" s="32">
        <f t="shared" si="44"/>
        <v>0</v>
      </c>
      <c r="AA115" s="32">
        <f t="shared" si="45"/>
        <v>1</v>
      </c>
      <c r="AB115" t="str">
        <f t="shared" si="46"/>
        <v>NT</v>
      </c>
      <c r="AC115">
        <v>13</v>
      </c>
      <c r="AD115" s="30" t="str">
        <f>Critères!$B115</f>
        <v>13.7</v>
      </c>
      <c r="AE115" s="30" t="str">
        <f>Critères!$A109</f>
        <v>CONSULTATION</v>
      </c>
      <c r="AF115" s="30" t="str">
        <f>'P01'!$E104</f>
        <v>N</v>
      </c>
      <c r="AG115" s="30" t="e">
        <f>#REF!</f>
        <v>#REF!</v>
      </c>
      <c r="AH115" s="30" t="e">
        <f>#REF!</f>
        <v>#REF!</v>
      </c>
      <c r="AI115" s="30" t="e">
        <f>#REF!</f>
        <v>#REF!</v>
      </c>
      <c r="AJ115" s="30" t="e">
        <f>#REF!</f>
        <v>#REF!</v>
      </c>
      <c r="AK115" s="30" t="e">
        <f>#REF!</f>
        <v>#REF!</v>
      </c>
      <c r="AL115" s="30" t="e">
        <f>#REF!</f>
        <v>#REF!</v>
      </c>
      <c r="AM115" s="30" t="e">
        <f>#REF!</f>
        <v>#REF!</v>
      </c>
      <c r="AN115" s="30" t="e">
        <f>#REF!</f>
        <v>#REF!</v>
      </c>
      <c r="AO115" s="30" t="e">
        <f>#REF!</f>
        <v>#REF!</v>
      </c>
      <c r="AP115" s="30" t="e">
        <f>#REF!</f>
        <v>#REF!</v>
      </c>
      <c r="AQ115" s="30" t="e">
        <f>#REF!</f>
        <v>#REF!</v>
      </c>
      <c r="AR115" s="30" t="e">
        <f>#REF!</f>
        <v>#REF!</v>
      </c>
      <c r="AS115" s="30" t="e">
        <f>#REF!</f>
        <v>#REF!</v>
      </c>
      <c r="AT115" s="30" t="e">
        <f>#REF!</f>
        <v>#REF!</v>
      </c>
      <c r="AU115" s="30" t="e">
        <f>#REF!</f>
        <v>#REF!</v>
      </c>
      <c r="AV115" s="30" t="e">
        <f>#REF!</f>
        <v>#REF!</v>
      </c>
      <c r="AW115" s="30" t="e">
        <f>#REF!</f>
        <v>#REF!</v>
      </c>
      <c r="AX115" s="30" t="e">
        <f>#REF!</f>
        <v>#REF!</v>
      </c>
      <c r="AY115" s="30" t="e">
        <f>#REF!</f>
        <v>#REF!</v>
      </c>
      <c r="AZ115" s="32">
        <f t="shared" si="47"/>
        <v>0</v>
      </c>
    </row>
    <row r="116" spans="1:64" ht="15.5">
      <c r="A116">
        <v>13</v>
      </c>
      <c r="B116" s="30" t="str">
        <f>Critères!$B116</f>
        <v>13.8</v>
      </c>
      <c r="C116" s="30" t="str">
        <f>Critères!$A109</f>
        <v>CONSULTATION</v>
      </c>
      <c r="D116" s="30" t="str">
        <f>'P01'!$D105</f>
        <v>NT</v>
      </c>
      <c r="E116" s="30" t="e">
        <f>#REF!</f>
        <v>#REF!</v>
      </c>
      <c r="F116" s="30" t="e">
        <f>#REF!</f>
        <v>#REF!</v>
      </c>
      <c r="G116" s="30" t="e">
        <f>#REF!</f>
        <v>#REF!</v>
      </c>
      <c r="H116" s="30" t="e">
        <f>#REF!</f>
        <v>#REF!</v>
      </c>
      <c r="I116" s="30" t="e">
        <f>#REF!</f>
        <v>#REF!</v>
      </c>
      <c r="J116" s="30" t="e">
        <f>#REF!</f>
        <v>#REF!</v>
      </c>
      <c r="K116" s="30" t="e">
        <f>#REF!</f>
        <v>#REF!</v>
      </c>
      <c r="L116" s="30" t="e">
        <f>#REF!</f>
        <v>#REF!</v>
      </c>
      <c r="M116" s="30" t="e">
        <f>#REF!</f>
        <v>#REF!</v>
      </c>
      <c r="N116" s="30" t="e">
        <f>#REF!</f>
        <v>#REF!</v>
      </c>
      <c r="O116" s="30" t="e">
        <f>#REF!</f>
        <v>#REF!</v>
      </c>
      <c r="P116" s="30" t="e">
        <f>#REF!</f>
        <v>#REF!</v>
      </c>
      <c r="Q116" s="30" t="e">
        <f>#REF!</f>
        <v>#REF!</v>
      </c>
      <c r="R116" s="30" t="e">
        <f>#REF!</f>
        <v>#REF!</v>
      </c>
      <c r="S116" s="30" t="e">
        <f>#REF!</f>
        <v>#REF!</v>
      </c>
      <c r="T116" s="30" t="e">
        <f>#REF!</f>
        <v>#REF!</v>
      </c>
      <c r="U116" s="30" t="e">
        <f>#REF!</f>
        <v>#REF!</v>
      </c>
      <c r="V116" s="30" t="e">
        <f>#REF!</f>
        <v>#REF!</v>
      </c>
      <c r="W116" s="30" t="e">
        <f>#REF!</f>
        <v>#REF!</v>
      </c>
      <c r="X116" s="32">
        <f t="shared" si="42"/>
        <v>0</v>
      </c>
      <c r="Y116" s="32">
        <f t="shared" si="43"/>
        <v>0</v>
      </c>
      <c r="Z116" s="32">
        <f t="shared" si="44"/>
        <v>0</v>
      </c>
      <c r="AA116" s="32">
        <f t="shared" si="45"/>
        <v>1</v>
      </c>
      <c r="AB116" t="str">
        <f t="shared" si="46"/>
        <v>NT</v>
      </c>
      <c r="AC116">
        <v>13</v>
      </c>
      <c r="AD116" s="30" t="str">
        <f>Critères!$B116</f>
        <v>13.8</v>
      </c>
      <c r="AE116" s="30" t="str">
        <f>Critères!$A109</f>
        <v>CONSULTATION</v>
      </c>
      <c r="AF116" s="30" t="str">
        <f>'P01'!$E105</f>
        <v>N</v>
      </c>
      <c r="AG116" s="30" t="e">
        <f>#REF!</f>
        <v>#REF!</v>
      </c>
      <c r="AH116" s="30" t="e">
        <f>#REF!</f>
        <v>#REF!</v>
      </c>
      <c r="AI116" s="30" t="e">
        <f>#REF!</f>
        <v>#REF!</v>
      </c>
      <c r="AJ116" s="30" t="e">
        <f>#REF!</f>
        <v>#REF!</v>
      </c>
      <c r="AK116" s="30" t="e">
        <f>#REF!</f>
        <v>#REF!</v>
      </c>
      <c r="AL116" s="30" t="e">
        <f>#REF!</f>
        <v>#REF!</v>
      </c>
      <c r="AM116" s="30" t="e">
        <f>#REF!</f>
        <v>#REF!</v>
      </c>
      <c r="AN116" s="30" t="e">
        <f>#REF!</f>
        <v>#REF!</v>
      </c>
      <c r="AO116" s="30" t="e">
        <f>#REF!</f>
        <v>#REF!</v>
      </c>
      <c r="AP116" s="30" t="e">
        <f>#REF!</f>
        <v>#REF!</v>
      </c>
      <c r="AQ116" s="30" t="e">
        <f>#REF!</f>
        <v>#REF!</v>
      </c>
      <c r="AR116" s="30" t="e">
        <f>#REF!</f>
        <v>#REF!</v>
      </c>
      <c r="AS116" s="30" t="e">
        <f>#REF!</f>
        <v>#REF!</v>
      </c>
      <c r="AT116" s="30" t="e">
        <f>#REF!</f>
        <v>#REF!</v>
      </c>
      <c r="AU116" s="30" t="e">
        <f>#REF!</f>
        <v>#REF!</v>
      </c>
      <c r="AV116" s="30" t="e">
        <f>#REF!</f>
        <v>#REF!</v>
      </c>
      <c r="AW116" s="30" t="e">
        <f>#REF!</f>
        <v>#REF!</v>
      </c>
      <c r="AX116" s="30" t="e">
        <f>#REF!</f>
        <v>#REF!</v>
      </c>
      <c r="AY116" s="30" t="e">
        <f>#REF!</f>
        <v>#REF!</v>
      </c>
      <c r="AZ116" s="32">
        <f t="shared" si="47"/>
        <v>0</v>
      </c>
    </row>
    <row r="117" spans="1:64" ht="15.5">
      <c r="A117">
        <v>13</v>
      </c>
      <c r="B117" s="30" t="str">
        <f>Critères!$B117</f>
        <v>13.9</v>
      </c>
      <c r="C117" s="30" t="str">
        <f>Critères!$A109</f>
        <v>CONSULTATION</v>
      </c>
      <c r="D117" s="30" t="str">
        <f>'P01'!$D106</f>
        <v>NT</v>
      </c>
      <c r="E117" s="30" t="e">
        <f>#REF!</f>
        <v>#REF!</v>
      </c>
      <c r="F117" s="30" t="e">
        <f>#REF!</f>
        <v>#REF!</v>
      </c>
      <c r="G117" s="30" t="e">
        <f>#REF!</f>
        <v>#REF!</v>
      </c>
      <c r="H117" s="30" t="e">
        <f>#REF!</f>
        <v>#REF!</v>
      </c>
      <c r="I117" s="30" t="e">
        <f>#REF!</f>
        <v>#REF!</v>
      </c>
      <c r="J117" s="30" t="e">
        <f>#REF!</f>
        <v>#REF!</v>
      </c>
      <c r="K117" s="30" t="e">
        <f>#REF!</f>
        <v>#REF!</v>
      </c>
      <c r="L117" s="30" t="e">
        <f>#REF!</f>
        <v>#REF!</v>
      </c>
      <c r="M117" s="30" t="e">
        <f>#REF!</f>
        <v>#REF!</v>
      </c>
      <c r="N117" s="30" t="e">
        <f>#REF!</f>
        <v>#REF!</v>
      </c>
      <c r="O117" s="30" t="e">
        <f>#REF!</f>
        <v>#REF!</v>
      </c>
      <c r="P117" s="30" t="e">
        <f>#REF!</f>
        <v>#REF!</v>
      </c>
      <c r="Q117" s="30" t="e">
        <f>#REF!</f>
        <v>#REF!</v>
      </c>
      <c r="R117" s="30" t="e">
        <f>#REF!</f>
        <v>#REF!</v>
      </c>
      <c r="S117" s="30" t="e">
        <f>#REF!</f>
        <v>#REF!</v>
      </c>
      <c r="T117" s="30" t="e">
        <f>#REF!</f>
        <v>#REF!</v>
      </c>
      <c r="U117" s="30" t="e">
        <f>#REF!</f>
        <v>#REF!</v>
      </c>
      <c r="V117" s="30" t="e">
        <f>#REF!</f>
        <v>#REF!</v>
      </c>
      <c r="W117" s="30" t="e">
        <f>#REF!</f>
        <v>#REF!</v>
      </c>
      <c r="X117" s="32">
        <f t="shared" si="42"/>
        <v>0</v>
      </c>
      <c r="Y117" s="32">
        <f t="shared" si="43"/>
        <v>0</v>
      </c>
      <c r="Z117" s="32">
        <f t="shared" si="44"/>
        <v>0</v>
      </c>
      <c r="AA117" s="32">
        <f t="shared" si="45"/>
        <v>1</v>
      </c>
      <c r="AB117" t="str">
        <f t="shared" si="46"/>
        <v>NT</v>
      </c>
      <c r="AC117">
        <v>13</v>
      </c>
      <c r="AD117" s="30" t="str">
        <f>Critères!$B117</f>
        <v>13.9</v>
      </c>
      <c r="AE117" s="30" t="str">
        <f>Critères!$A109</f>
        <v>CONSULTATION</v>
      </c>
      <c r="AF117" s="30" t="str">
        <f>'P01'!$E106</f>
        <v>N</v>
      </c>
      <c r="AG117" s="30" t="e">
        <f>#REF!</f>
        <v>#REF!</v>
      </c>
      <c r="AH117" s="30" t="e">
        <f>#REF!</f>
        <v>#REF!</v>
      </c>
      <c r="AI117" s="30" t="e">
        <f>#REF!</f>
        <v>#REF!</v>
      </c>
      <c r="AJ117" s="30" t="e">
        <f>#REF!</f>
        <v>#REF!</v>
      </c>
      <c r="AK117" s="30" t="e">
        <f>#REF!</f>
        <v>#REF!</v>
      </c>
      <c r="AL117" s="30" t="e">
        <f>#REF!</f>
        <v>#REF!</v>
      </c>
      <c r="AM117" s="30" t="e">
        <f>#REF!</f>
        <v>#REF!</v>
      </c>
      <c r="AN117" s="30" t="e">
        <f>#REF!</f>
        <v>#REF!</v>
      </c>
      <c r="AO117" s="30" t="e">
        <f>#REF!</f>
        <v>#REF!</v>
      </c>
      <c r="AP117" s="30" t="e">
        <f>#REF!</f>
        <v>#REF!</v>
      </c>
      <c r="AQ117" s="30" t="e">
        <f>#REF!</f>
        <v>#REF!</v>
      </c>
      <c r="AR117" s="30" t="e">
        <f>#REF!</f>
        <v>#REF!</v>
      </c>
      <c r="AS117" s="30" t="e">
        <f>#REF!</f>
        <v>#REF!</v>
      </c>
      <c r="AT117" s="30" t="e">
        <f>#REF!</f>
        <v>#REF!</v>
      </c>
      <c r="AU117" s="30" t="e">
        <f>#REF!</f>
        <v>#REF!</v>
      </c>
      <c r="AV117" s="30" t="e">
        <f>#REF!</f>
        <v>#REF!</v>
      </c>
      <c r="AW117" s="30" t="e">
        <f>#REF!</f>
        <v>#REF!</v>
      </c>
      <c r="AX117" s="30" t="e">
        <f>#REF!</f>
        <v>#REF!</v>
      </c>
      <c r="AY117" s="30" t="e">
        <f>#REF!</f>
        <v>#REF!</v>
      </c>
      <c r="AZ117" s="32">
        <f t="shared" si="47"/>
        <v>0</v>
      </c>
    </row>
    <row r="118" spans="1:64" ht="15.5">
      <c r="A118">
        <v>13</v>
      </c>
      <c r="B118" s="30" t="str">
        <f>Critères!$B118</f>
        <v>13.10</v>
      </c>
      <c r="C118" s="30" t="str">
        <f>Critères!$A109</f>
        <v>CONSULTATION</v>
      </c>
      <c r="D118" s="30" t="str">
        <f>'P01'!$D107</f>
        <v>NT</v>
      </c>
      <c r="E118" s="30" t="e">
        <f>#REF!</f>
        <v>#REF!</v>
      </c>
      <c r="F118" s="30" t="e">
        <f>#REF!</f>
        <v>#REF!</v>
      </c>
      <c r="G118" s="30" t="e">
        <f>#REF!</f>
        <v>#REF!</v>
      </c>
      <c r="H118" s="30" t="e">
        <f>#REF!</f>
        <v>#REF!</v>
      </c>
      <c r="I118" s="30" t="e">
        <f>#REF!</f>
        <v>#REF!</v>
      </c>
      <c r="J118" s="30" t="e">
        <f>#REF!</f>
        <v>#REF!</v>
      </c>
      <c r="K118" s="30" t="e">
        <f>#REF!</f>
        <v>#REF!</v>
      </c>
      <c r="L118" s="30" t="e">
        <f>#REF!</f>
        <v>#REF!</v>
      </c>
      <c r="M118" s="30" t="e">
        <f>#REF!</f>
        <v>#REF!</v>
      </c>
      <c r="N118" s="30" t="e">
        <f>#REF!</f>
        <v>#REF!</v>
      </c>
      <c r="O118" s="30" t="e">
        <f>#REF!</f>
        <v>#REF!</v>
      </c>
      <c r="P118" s="30" t="e">
        <f>#REF!</f>
        <v>#REF!</v>
      </c>
      <c r="Q118" s="30" t="e">
        <f>#REF!</f>
        <v>#REF!</v>
      </c>
      <c r="R118" s="30" t="e">
        <f>#REF!</f>
        <v>#REF!</v>
      </c>
      <c r="S118" s="30" t="e">
        <f>#REF!</f>
        <v>#REF!</v>
      </c>
      <c r="T118" s="30" t="e">
        <f>#REF!</f>
        <v>#REF!</v>
      </c>
      <c r="U118" s="30" t="e">
        <f>#REF!</f>
        <v>#REF!</v>
      </c>
      <c r="V118" s="30" t="e">
        <f>#REF!</f>
        <v>#REF!</v>
      </c>
      <c r="W118" s="30" t="e">
        <f>#REF!</f>
        <v>#REF!</v>
      </c>
      <c r="X118" s="32">
        <f t="shared" si="42"/>
        <v>0</v>
      </c>
      <c r="Y118" s="32">
        <f t="shared" si="43"/>
        <v>0</v>
      </c>
      <c r="Z118" s="32">
        <f t="shared" si="44"/>
        <v>0</v>
      </c>
      <c r="AA118" s="32">
        <f t="shared" si="45"/>
        <v>1</v>
      </c>
      <c r="AB118" t="str">
        <f t="shared" si="46"/>
        <v>NT</v>
      </c>
      <c r="AC118">
        <v>13</v>
      </c>
      <c r="AD118" s="30" t="str">
        <f>Critères!$B118</f>
        <v>13.10</v>
      </c>
      <c r="AE118" s="30" t="str">
        <f>Critères!$A109</f>
        <v>CONSULTATION</v>
      </c>
      <c r="AF118" s="30" t="str">
        <f>'P01'!$E107</f>
        <v>N</v>
      </c>
      <c r="AG118" s="30" t="e">
        <f>#REF!</f>
        <v>#REF!</v>
      </c>
      <c r="AH118" s="30" t="e">
        <f>#REF!</f>
        <v>#REF!</v>
      </c>
      <c r="AI118" s="30" t="e">
        <f>#REF!</f>
        <v>#REF!</v>
      </c>
      <c r="AJ118" s="30" t="e">
        <f>#REF!</f>
        <v>#REF!</v>
      </c>
      <c r="AK118" s="30" t="e">
        <f>#REF!</f>
        <v>#REF!</v>
      </c>
      <c r="AL118" s="30" t="e">
        <f>#REF!</f>
        <v>#REF!</v>
      </c>
      <c r="AM118" s="30" t="e">
        <f>#REF!</f>
        <v>#REF!</v>
      </c>
      <c r="AN118" s="30" t="e">
        <f>#REF!</f>
        <v>#REF!</v>
      </c>
      <c r="AO118" s="30" t="e">
        <f>#REF!</f>
        <v>#REF!</v>
      </c>
      <c r="AP118" s="30" t="e">
        <f>#REF!</f>
        <v>#REF!</v>
      </c>
      <c r="AQ118" s="30" t="e">
        <f>#REF!</f>
        <v>#REF!</v>
      </c>
      <c r="AR118" s="30" t="e">
        <f>#REF!</f>
        <v>#REF!</v>
      </c>
      <c r="AS118" s="30" t="e">
        <f>#REF!</f>
        <v>#REF!</v>
      </c>
      <c r="AT118" s="30" t="e">
        <f>#REF!</f>
        <v>#REF!</v>
      </c>
      <c r="AU118" s="30" t="e">
        <f>#REF!</f>
        <v>#REF!</v>
      </c>
      <c r="AV118" s="30" t="e">
        <f>#REF!</f>
        <v>#REF!</v>
      </c>
      <c r="AW118" s="30" t="e">
        <f>#REF!</f>
        <v>#REF!</v>
      </c>
      <c r="AX118" s="30" t="e">
        <f>#REF!</f>
        <v>#REF!</v>
      </c>
      <c r="AY118" s="30" t="e">
        <f>#REF!</f>
        <v>#REF!</v>
      </c>
      <c r="AZ118" s="32">
        <f t="shared" si="47"/>
        <v>0</v>
      </c>
    </row>
    <row r="119" spans="1:64" ht="15.5">
      <c r="A119">
        <v>13</v>
      </c>
      <c r="B119" s="30" t="str">
        <f>Critères!$B119</f>
        <v>13.11</v>
      </c>
      <c r="C119" s="30" t="str">
        <f>Critères!$A109</f>
        <v>CONSULTATION</v>
      </c>
      <c r="D119" s="30" t="str">
        <f>'P01'!$D108</f>
        <v>NT</v>
      </c>
      <c r="E119" s="30" t="e">
        <f>#REF!</f>
        <v>#REF!</v>
      </c>
      <c r="F119" s="30" t="e">
        <f>#REF!</f>
        <v>#REF!</v>
      </c>
      <c r="G119" s="30" t="e">
        <f>#REF!</f>
        <v>#REF!</v>
      </c>
      <c r="H119" s="30" t="e">
        <f>#REF!</f>
        <v>#REF!</v>
      </c>
      <c r="I119" s="30" t="e">
        <f>#REF!</f>
        <v>#REF!</v>
      </c>
      <c r="J119" s="30" t="e">
        <f>#REF!</f>
        <v>#REF!</v>
      </c>
      <c r="K119" s="30" t="e">
        <f>#REF!</f>
        <v>#REF!</v>
      </c>
      <c r="L119" s="30" t="e">
        <f>#REF!</f>
        <v>#REF!</v>
      </c>
      <c r="M119" s="30" t="e">
        <f>#REF!</f>
        <v>#REF!</v>
      </c>
      <c r="N119" s="30" t="e">
        <f>#REF!</f>
        <v>#REF!</v>
      </c>
      <c r="O119" s="30" t="e">
        <f>#REF!</f>
        <v>#REF!</v>
      </c>
      <c r="P119" s="30" t="e">
        <f>#REF!</f>
        <v>#REF!</v>
      </c>
      <c r="Q119" s="30" t="e">
        <f>#REF!</f>
        <v>#REF!</v>
      </c>
      <c r="R119" s="30" t="e">
        <f>#REF!</f>
        <v>#REF!</v>
      </c>
      <c r="S119" s="30" t="e">
        <f>#REF!</f>
        <v>#REF!</v>
      </c>
      <c r="T119" s="30" t="e">
        <f>#REF!</f>
        <v>#REF!</v>
      </c>
      <c r="U119" s="30" t="e">
        <f>#REF!</f>
        <v>#REF!</v>
      </c>
      <c r="V119" s="30" t="e">
        <f>#REF!</f>
        <v>#REF!</v>
      </c>
      <c r="W119" s="30" t="e">
        <f>#REF!</f>
        <v>#REF!</v>
      </c>
      <c r="X119" s="32">
        <f t="shared" si="42"/>
        <v>0</v>
      </c>
      <c r="Y119" s="32">
        <f t="shared" si="43"/>
        <v>0</v>
      </c>
      <c r="Z119" s="32">
        <f t="shared" si="44"/>
        <v>0</v>
      </c>
      <c r="AA119" s="32">
        <f t="shared" si="45"/>
        <v>1</v>
      </c>
      <c r="AB119" t="str">
        <f t="shared" si="46"/>
        <v>NT</v>
      </c>
      <c r="AC119">
        <v>13</v>
      </c>
      <c r="AD119" s="30" t="str">
        <f>Critères!$B119</f>
        <v>13.11</v>
      </c>
      <c r="AE119" s="30" t="str">
        <f>Critères!$A109</f>
        <v>CONSULTATION</v>
      </c>
      <c r="AF119" s="30" t="str">
        <f>'P01'!$E108</f>
        <v>N</v>
      </c>
      <c r="AG119" s="30" t="e">
        <f>#REF!</f>
        <v>#REF!</v>
      </c>
      <c r="AH119" s="30" t="e">
        <f>#REF!</f>
        <v>#REF!</v>
      </c>
      <c r="AI119" s="30" t="e">
        <f>#REF!</f>
        <v>#REF!</v>
      </c>
      <c r="AJ119" s="30" t="e">
        <f>#REF!</f>
        <v>#REF!</v>
      </c>
      <c r="AK119" s="30" t="e">
        <f>#REF!</f>
        <v>#REF!</v>
      </c>
      <c r="AL119" s="30" t="e">
        <f>#REF!</f>
        <v>#REF!</v>
      </c>
      <c r="AM119" s="30" t="e">
        <f>#REF!</f>
        <v>#REF!</v>
      </c>
      <c r="AN119" s="30" t="e">
        <f>#REF!</f>
        <v>#REF!</v>
      </c>
      <c r="AO119" s="30" t="e">
        <f>#REF!</f>
        <v>#REF!</v>
      </c>
      <c r="AP119" s="30" t="e">
        <f>#REF!</f>
        <v>#REF!</v>
      </c>
      <c r="AQ119" s="30" t="e">
        <f>#REF!</f>
        <v>#REF!</v>
      </c>
      <c r="AR119" s="30" t="e">
        <f>#REF!</f>
        <v>#REF!</v>
      </c>
      <c r="AS119" s="30" t="e">
        <f>#REF!</f>
        <v>#REF!</v>
      </c>
      <c r="AT119" s="30" t="e">
        <f>#REF!</f>
        <v>#REF!</v>
      </c>
      <c r="AU119" s="30" t="e">
        <f>#REF!</f>
        <v>#REF!</v>
      </c>
      <c r="AV119" s="30" t="e">
        <f>#REF!</f>
        <v>#REF!</v>
      </c>
      <c r="AW119" s="30" t="e">
        <f>#REF!</f>
        <v>#REF!</v>
      </c>
      <c r="AX119" s="30" t="e">
        <f>#REF!</f>
        <v>#REF!</v>
      </c>
      <c r="AY119" s="30" t="e">
        <f>#REF!</f>
        <v>#REF!</v>
      </c>
      <c r="AZ119" s="32">
        <f t="shared" si="47"/>
        <v>0</v>
      </c>
    </row>
    <row r="120" spans="1:64" ht="15.5">
      <c r="A120">
        <v>13</v>
      </c>
      <c r="B120" s="30" t="str">
        <f>Critères!$B120</f>
        <v>13.12</v>
      </c>
      <c r="C120" s="30" t="str">
        <f>Critères!$A109</f>
        <v>CONSULTATION</v>
      </c>
      <c r="D120" s="30" t="str">
        <f>'P01'!$D109</f>
        <v>NT</v>
      </c>
      <c r="E120" s="30" t="e">
        <f>#REF!</f>
        <v>#REF!</v>
      </c>
      <c r="F120" s="30" t="e">
        <f>#REF!</f>
        <v>#REF!</v>
      </c>
      <c r="G120" s="30" t="e">
        <f>#REF!</f>
        <v>#REF!</v>
      </c>
      <c r="H120" s="30" t="e">
        <f>#REF!</f>
        <v>#REF!</v>
      </c>
      <c r="I120" s="30" t="e">
        <f>#REF!</f>
        <v>#REF!</v>
      </c>
      <c r="J120" s="30" t="e">
        <f>#REF!</f>
        <v>#REF!</v>
      </c>
      <c r="K120" s="30" t="e">
        <f>#REF!</f>
        <v>#REF!</v>
      </c>
      <c r="L120" s="30" t="e">
        <f>#REF!</f>
        <v>#REF!</v>
      </c>
      <c r="M120" s="30" t="e">
        <f>#REF!</f>
        <v>#REF!</v>
      </c>
      <c r="N120" s="30" t="e">
        <f>#REF!</f>
        <v>#REF!</v>
      </c>
      <c r="O120" s="30" t="e">
        <f>#REF!</f>
        <v>#REF!</v>
      </c>
      <c r="P120" s="30" t="e">
        <f>#REF!</f>
        <v>#REF!</v>
      </c>
      <c r="Q120" s="30" t="e">
        <f>#REF!</f>
        <v>#REF!</v>
      </c>
      <c r="R120" s="30" t="e">
        <f>#REF!</f>
        <v>#REF!</v>
      </c>
      <c r="S120" s="30" t="e">
        <f>#REF!</f>
        <v>#REF!</v>
      </c>
      <c r="T120" s="30" t="e">
        <f>#REF!</f>
        <v>#REF!</v>
      </c>
      <c r="U120" s="30" t="e">
        <f>#REF!</f>
        <v>#REF!</v>
      </c>
      <c r="V120" s="30" t="e">
        <f>#REF!</f>
        <v>#REF!</v>
      </c>
      <c r="W120" s="30" t="e">
        <f>#REF!</f>
        <v>#REF!</v>
      </c>
      <c r="X120" s="32">
        <f t="shared" si="42"/>
        <v>0</v>
      </c>
      <c r="Y120" s="32">
        <f t="shared" si="43"/>
        <v>0</v>
      </c>
      <c r="Z120" s="32">
        <f t="shared" si="44"/>
        <v>0</v>
      </c>
      <c r="AA120" s="32">
        <f t="shared" si="45"/>
        <v>1</v>
      </c>
      <c r="AB120" t="str">
        <f t="shared" si="46"/>
        <v>NT</v>
      </c>
      <c r="AC120">
        <v>13</v>
      </c>
      <c r="AD120" s="30" t="str">
        <f>Critères!$B120</f>
        <v>13.12</v>
      </c>
      <c r="AE120" s="30" t="str">
        <f>Critères!$A109</f>
        <v>CONSULTATION</v>
      </c>
      <c r="AF120" s="30" t="str">
        <f>'P01'!$E109</f>
        <v>N</v>
      </c>
      <c r="AG120" s="30" t="e">
        <f>#REF!</f>
        <v>#REF!</v>
      </c>
      <c r="AH120" s="30" t="e">
        <f>#REF!</f>
        <v>#REF!</v>
      </c>
      <c r="AI120" s="30" t="e">
        <f>#REF!</f>
        <v>#REF!</v>
      </c>
      <c r="AJ120" s="30" t="e">
        <f>#REF!</f>
        <v>#REF!</v>
      </c>
      <c r="AK120" s="30" t="e">
        <f>#REF!</f>
        <v>#REF!</v>
      </c>
      <c r="AL120" s="30" t="e">
        <f>#REF!</f>
        <v>#REF!</v>
      </c>
      <c r="AM120" s="30" t="e">
        <f>#REF!</f>
        <v>#REF!</v>
      </c>
      <c r="AN120" s="30" t="e">
        <f>#REF!</f>
        <v>#REF!</v>
      </c>
      <c r="AO120" s="30" t="e">
        <f>#REF!</f>
        <v>#REF!</v>
      </c>
      <c r="AP120" s="30" t="e">
        <f>#REF!</f>
        <v>#REF!</v>
      </c>
      <c r="AQ120" s="30" t="e">
        <f>#REF!</f>
        <v>#REF!</v>
      </c>
      <c r="AR120" s="30" t="e">
        <f>#REF!</f>
        <v>#REF!</v>
      </c>
      <c r="AS120" s="30" t="e">
        <f>#REF!</f>
        <v>#REF!</v>
      </c>
      <c r="AT120" s="30" t="e">
        <f>#REF!</f>
        <v>#REF!</v>
      </c>
      <c r="AU120" s="30" t="e">
        <f>#REF!</f>
        <v>#REF!</v>
      </c>
      <c r="AV120" s="30" t="e">
        <f>#REF!</f>
        <v>#REF!</v>
      </c>
      <c r="AW120" s="30" t="e">
        <f>#REF!</f>
        <v>#REF!</v>
      </c>
      <c r="AX120" s="30" t="e">
        <f>#REF!</f>
        <v>#REF!</v>
      </c>
      <c r="AY120" s="30" t="e">
        <f>#REF!</f>
        <v>#REF!</v>
      </c>
      <c r="AZ120" s="32">
        <f t="shared" si="47"/>
        <v>0</v>
      </c>
    </row>
    <row r="121" spans="1:64" ht="15.5">
      <c r="A121" s="3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6">
        <f>SUM(X109:X120)</f>
        <v>0</v>
      </c>
      <c r="Y121" s="36">
        <f>SUM(Y109:Y120)</f>
        <v>0</v>
      </c>
      <c r="Z121" s="36">
        <f>SUM(Z109:Z120)</f>
        <v>0</v>
      </c>
      <c r="AA121" s="36">
        <f>SUM(AA109:AA120)</f>
        <v>12</v>
      </c>
      <c r="AC121" s="3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6">
        <f>SUM(AZ109:AZ120)</f>
        <v>0</v>
      </c>
    </row>
    <row r="122" spans="1:64" ht="15.5">
      <c r="A122" s="2"/>
      <c r="B122" s="38"/>
      <c r="C122" s="38" t="s">
        <v>252</v>
      </c>
      <c r="D122" s="38">
        <f t="shared" ref="D122:W122" si="48">SUM(COUNTIF(D3:D11,"C"),COUNTIF(D13:D14,"C"),COUNTIF(D16:D18,"C"),COUNTIF(D20:D32,"C"),COUNTIF(D34:D41,"C"),COUNTIF(D43:D44,"C"),COUNTIF(D46:D50,"C"),COUNTIF(D52:D61,"C"),COUNTIF(D63:D66,"C"),COUNTIF(D68:D81,"C"),COUNTIF(D83:D95,"C"),COUNTIF(D97:D107,"C"),COUNTIF(D109:D120,"C"))</f>
        <v>0</v>
      </c>
      <c r="E122" s="38">
        <f t="shared" si="48"/>
        <v>0</v>
      </c>
      <c r="F122" s="38">
        <f t="shared" si="48"/>
        <v>0</v>
      </c>
      <c r="G122" s="38">
        <f t="shared" si="48"/>
        <v>0</v>
      </c>
      <c r="H122" s="38">
        <f t="shared" si="48"/>
        <v>0</v>
      </c>
      <c r="I122" s="38">
        <f t="shared" si="48"/>
        <v>0</v>
      </c>
      <c r="J122" s="38">
        <f t="shared" si="48"/>
        <v>0</v>
      </c>
      <c r="K122" s="38">
        <f t="shared" si="48"/>
        <v>0</v>
      </c>
      <c r="L122" s="38">
        <f t="shared" si="48"/>
        <v>0</v>
      </c>
      <c r="M122" s="38">
        <f t="shared" si="48"/>
        <v>0</v>
      </c>
      <c r="N122" s="38">
        <f t="shared" si="48"/>
        <v>0</v>
      </c>
      <c r="O122" s="38">
        <f t="shared" si="48"/>
        <v>0</v>
      </c>
      <c r="P122" s="38">
        <f t="shared" si="48"/>
        <v>0</v>
      </c>
      <c r="Q122" s="38">
        <f t="shared" si="48"/>
        <v>0</v>
      </c>
      <c r="R122" s="38">
        <f t="shared" si="48"/>
        <v>0</v>
      </c>
      <c r="S122" s="38">
        <f t="shared" si="48"/>
        <v>0</v>
      </c>
      <c r="T122" s="38">
        <f t="shared" si="48"/>
        <v>0</v>
      </c>
      <c r="U122" s="38">
        <f t="shared" si="48"/>
        <v>0</v>
      </c>
      <c r="V122" s="38">
        <f t="shared" si="48"/>
        <v>0</v>
      </c>
      <c r="W122" s="38">
        <f t="shared" si="48"/>
        <v>0</v>
      </c>
      <c r="X122" s="39"/>
      <c r="Y122" s="39"/>
      <c r="Z122" s="39"/>
      <c r="AA122" s="39"/>
      <c r="AB122" s="2"/>
      <c r="AC122" s="2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9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 ht="15.5">
      <c r="A123" s="2"/>
      <c r="B123" s="38"/>
      <c r="C123" s="38" t="s">
        <v>253</v>
      </c>
      <c r="D123" s="38">
        <f t="shared" ref="D123:W123" si="49">SUM(COUNTIF(D3:D11,"NC"),COUNTIF(D13:D14,"NC"),COUNTIF(D16:D18,"NC"),COUNTIF(D20:D32,"NC"),COUNTIF(D34:D41,"NC"),COUNTIF(D43:D44,"NC"),COUNTIF(D46:D50,"NC"),COUNTIF(D52:D61,"NC"),COUNTIF(D63:D66,"NC"),COUNTIF(D68:D81,"NC"),COUNTIF(D83:D95,"NC"),COUNTIF(D97:D107,"NC"),COUNTIF(D109:D120,"NC"))</f>
        <v>0</v>
      </c>
      <c r="E123" s="38">
        <f t="shared" si="49"/>
        <v>0</v>
      </c>
      <c r="F123" s="38">
        <f t="shared" si="49"/>
        <v>0</v>
      </c>
      <c r="G123" s="38">
        <f t="shared" si="49"/>
        <v>0</v>
      </c>
      <c r="H123" s="38">
        <f t="shared" si="49"/>
        <v>0</v>
      </c>
      <c r="I123" s="38">
        <f t="shared" si="49"/>
        <v>0</v>
      </c>
      <c r="J123" s="38">
        <f t="shared" si="49"/>
        <v>0</v>
      </c>
      <c r="K123" s="38">
        <f t="shared" si="49"/>
        <v>0</v>
      </c>
      <c r="L123" s="38">
        <f t="shared" si="49"/>
        <v>0</v>
      </c>
      <c r="M123" s="38">
        <f t="shared" si="49"/>
        <v>0</v>
      </c>
      <c r="N123" s="38">
        <f t="shared" si="49"/>
        <v>0</v>
      </c>
      <c r="O123" s="38">
        <f t="shared" si="49"/>
        <v>0</v>
      </c>
      <c r="P123" s="38">
        <f t="shared" si="49"/>
        <v>0</v>
      </c>
      <c r="Q123" s="38">
        <f t="shared" si="49"/>
        <v>0</v>
      </c>
      <c r="R123" s="38">
        <f t="shared" si="49"/>
        <v>0</v>
      </c>
      <c r="S123" s="38">
        <f t="shared" si="49"/>
        <v>0</v>
      </c>
      <c r="T123" s="38">
        <f t="shared" si="49"/>
        <v>0</v>
      </c>
      <c r="U123" s="38">
        <f t="shared" si="49"/>
        <v>0</v>
      </c>
      <c r="V123" s="38">
        <f t="shared" si="49"/>
        <v>0</v>
      </c>
      <c r="W123" s="38">
        <f t="shared" si="49"/>
        <v>0</v>
      </c>
      <c r="X123" s="39"/>
      <c r="Y123" s="39"/>
      <c r="Z123" s="39"/>
      <c r="AA123" s="39"/>
      <c r="AB123" s="2"/>
      <c r="AC123" s="2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9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 ht="15.5">
      <c r="A124" s="2"/>
      <c r="B124" s="38"/>
      <c r="C124" s="38" t="s">
        <v>254</v>
      </c>
      <c r="D124" s="38">
        <f t="shared" ref="D124:W124" si="50">SUM(COUNTIF(D3:D11,"NA"),COUNTIF(D13:D14,"NA"),COUNTIF(D16:D18,"NA"),COUNTIF(D20:D32,"NA"),COUNTIF(D34:D41,"NA"),COUNTIF(D43:D44,"NA"),COUNTIF(D46:D50,"NA"),COUNTIF(D52:D61,"NA"),COUNTIF(D63:D66,"NA"),COUNTIF(D68:D81,"NA"),COUNTIF(D83:D95,"NA"),COUNTIF(D97:D107,"NA"),COUNTIF(D109:D120,"NA"))</f>
        <v>0</v>
      </c>
      <c r="E124" s="38">
        <f t="shared" si="50"/>
        <v>0</v>
      </c>
      <c r="F124" s="38">
        <f t="shared" si="50"/>
        <v>0</v>
      </c>
      <c r="G124" s="38">
        <f t="shared" si="50"/>
        <v>0</v>
      </c>
      <c r="H124" s="38">
        <f t="shared" si="50"/>
        <v>0</v>
      </c>
      <c r="I124" s="38">
        <f t="shared" si="50"/>
        <v>0</v>
      </c>
      <c r="J124" s="38">
        <f t="shared" si="50"/>
        <v>0</v>
      </c>
      <c r="K124" s="38">
        <f t="shared" si="50"/>
        <v>0</v>
      </c>
      <c r="L124" s="38">
        <f t="shared" si="50"/>
        <v>0</v>
      </c>
      <c r="M124" s="38">
        <f t="shared" si="50"/>
        <v>0</v>
      </c>
      <c r="N124" s="38">
        <f t="shared" si="50"/>
        <v>0</v>
      </c>
      <c r="O124" s="38">
        <f t="shared" si="50"/>
        <v>0</v>
      </c>
      <c r="P124" s="38">
        <f t="shared" si="50"/>
        <v>0</v>
      </c>
      <c r="Q124" s="38">
        <f t="shared" si="50"/>
        <v>0</v>
      </c>
      <c r="R124" s="38">
        <f t="shared" si="50"/>
        <v>0</v>
      </c>
      <c r="S124" s="38">
        <f t="shared" si="50"/>
        <v>0</v>
      </c>
      <c r="T124" s="38">
        <f t="shared" si="50"/>
        <v>0</v>
      </c>
      <c r="U124" s="38">
        <f t="shared" si="50"/>
        <v>0</v>
      </c>
      <c r="V124" s="38">
        <f t="shared" si="50"/>
        <v>0</v>
      </c>
      <c r="W124" s="38">
        <f t="shared" si="50"/>
        <v>0</v>
      </c>
      <c r="X124" s="39"/>
      <c r="Y124" s="39"/>
      <c r="Z124" s="39"/>
      <c r="AA124" s="39"/>
      <c r="AB124" s="2"/>
      <c r="AC124" s="2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9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 ht="15.5">
      <c r="A125" s="2"/>
      <c r="B125" s="38"/>
      <c r="C125" s="38" t="s">
        <v>260</v>
      </c>
      <c r="D125" t="str">
        <f t="shared" ref="D125:W125" si="51">IF(AND(D122=0,D123=0),"NA",D122/(D122+D123))</f>
        <v>NA</v>
      </c>
      <c r="E125" t="str">
        <f t="shared" si="51"/>
        <v>NA</v>
      </c>
      <c r="F125" t="str">
        <f t="shared" si="51"/>
        <v>NA</v>
      </c>
      <c r="G125" t="str">
        <f t="shared" si="51"/>
        <v>NA</v>
      </c>
      <c r="H125" t="str">
        <f t="shared" si="51"/>
        <v>NA</v>
      </c>
      <c r="I125" t="str">
        <f t="shared" si="51"/>
        <v>NA</v>
      </c>
      <c r="J125" t="str">
        <f t="shared" si="51"/>
        <v>NA</v>
      </c>
      <c r="K125" t="str">
        <f t="shared" si="51"/>
        <v>NA</v>
      </c>
      <c r="L125" t="str">
        <f t="shared" si="51"/>
        <v>NA</v>
      </c>
      <c r="M125" t="str">
        <f t="shared" si="51"/>
        <v>NA</v>
      </c>
      <c r="N125" t="str">
        <f t="shared" si="51"/>
        <v>NA</v>
      </c>
      <c r="O125" t="str">
        <f t="shared" si="51"/>
        <v>NA</v>
      </c>
      <c r="P125" t="str">
        <f t="shared" si="51"/>
        <v>NA</v>
      </c>
      <c r="Q125" t="str">
        <f t="shared" si="51"/>
        <v>NA</v>
      </c>
      <c r="R125" t="str">
        <f t="shared" si="51"/>
        <v>NA</v>
      </c>
      <c r="S125" t="str">
        <f t="shared" si="51"/>
        <v>NA</v>
      </c>
      <c r="T125" t="str">
        <f t="shared" si="51"/>
        <v>NA</v>
      </c>
      <c r="U125" t="str">
        <f t="shared" si="51"/>
        <v>NA</v>
      </c>
      <c r="V125" t="str">
        <f t="shared" si="51"/>
        <v>NA</v>
      </c>
      <c r="W125" t="str">
        <f t="shared" si="51"/>
        <v>NA</v>
      </c>
      <c r="X125" s="39" t="str">
        <f>IF(AND(W122&lt;&gt;0,W123&lt;&gt;0),"ok","ko")</f>
        <v>ko</v>
      </c>
      <c r="Y125" s="39"/>
      <c r="Z125" s="39"/>
      <c r="AA125" s="39"/>
      <c r="AB125" s="2"/>
      <c r="AC125" s="2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9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</row>
  </sheetData>
  <pageMargins left="0.39370078740157505" right="0.39370078740157505" top="0.78740157480315009" bottom="0.59015748031496107" header="0.39370078740157505" footer="0.39370078740157505"/>
  <pageSetup paperSize="0" scale="74" fitToWidth="0" fitToHeight="0" pageOrder="overThenDown" orientation="portrait" useFirstPageNumber="1" horizontalDpi="0" verticalDpi="0" copies="0"/>
  <headerFooter alignWithMargins="0">
    <oddHeader>&amp;LRGAA 3.0 - Relevé pour le site : wwww.site.fr&amp;R&amp;P/&amp;N - &amp;A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3123-C9CB-4191-BBF9-D020355A9135}">
  <dimension ref="A1:AMI109"/>
  <sheetViews>
    <sheetView workbookViewId="0">
      <selection sqref="A1:D1"/>
    </sheetView>
  </sheetViews>
  <sheetFormatPr baseColWidth="10" defaultRowHeight="15"/>
  <cols>
    <col min="1" max="1" width="3.765625" customWidth="1"/>
    <col min="2" max="2" width="4.3828125" style="50" customWidth="1"/>
    <col min="3" max="3" width="33.921875" style="6" customWidth="1"/>
    <col min="4" max="4" width="3.921875" style="6" customWidth="1"/>
    <col min="5" max="5" width="3.3046875" style="6" customWidth="1"/>
    <col min="6" max="6" width="33.765625" style="6" customWidth="1"/>
    <col min="7" max="7" width="23.3828125" style="6" customWidth="1"/>
    <col min="8" max="64" width="9.765625" style="6" customWidth="1"/>
    <col min="65" max="1023" width="9.765625" customWidth="1"/>
    <col min="1024" max="1024" width="11.07421875" customWidth="1"/>
  </cols>
  <sheetData>
    <row r="1" spans="1:1023" ht="15.5">
      <c r="A1" s="4" t="e">
        <f>#REF!</f>
        <v>#REF!</v>
      </c>
      <c r="B1" s="4"/>
      <c r="C1" s="4"/>
      <c r="D1" s="4"/>
      <c r="E1" s="4"/>
      <c r="F1" s="4"/>
      <c r="G1" s="4"/>
    </row>
    <row r="2" spans="1:1023" ht="15.5">
      <c r="A2" s="51" t="e">
        <f>CONCATENATE(#REF!," : ",#REF!)</f>
        <v>#REF!</v>
      </c>
      <c r="B2" s="51"/>
      <c r="C2" s="51"/>
      <c r="D2" s="51"/>
      <c r="E2" s="51"/>
      <c r="F2" s="51"/>
      <c r="G2" s="51"/>
    </row>
    <row r="3" spans="1:1023" ht="57.5" customHeight="1">
      <c r="A3" s="7" t="s">
        <v>20</v>
      </c>
      <c r="B3" s="7" t="s">
        <v>21</v>
      </c>
      <c r="C3" s="41" t="s">
        <v>22</v>
      </c>
      <c r="D3" s="7" t="s">
        <v>256</v>
      </c>
      <c r="E3" s="7" t="s">
        <v>261</v>
      </c>
      <c r="F3" s="41" t="s">
        <v>262</v>
      </c>
      <c r="G3" s="41" t="s">
        <v>263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1023" ht="20">
      <c r="A4" s="29" t="str">
        <f>Critères!$A$3</f>
        <v>IMAGES</v>
      </c>
      <c r="B4" s="42" t="str">
        <f>Critères!B3</f>
        <v>1.1</v>
      </c>
      <c r="C4" s="43" t="str">
        <f>Critères!C3</f>
        <v>Chaque image porteuse d’information a-t-elle une alternative textuelle ?</v>
      </c>
      <c r="D4" s="5" t="s">
        <v>27</v>
      </c>
      <c r="E4" s="44" t="s">
        <v>259</v>
      </c>
      <c r="F4" s="43"/>
      <c r="G4" s="43"/>
      <c r="H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1023" ht="20">
      <c r="A5" s="29"/>
      <c r="B5" s="42" t="str">
        <f>Critères!B4</f>
        <v>1.2</v>
      </c>
      <c r="C5" s="43" t="str">
        <f>Critères!C4</f>
        <v>Chaque image de décoration est-elle correctement ignorée par les technologies d’assistance ?</v>
      </c>
      <c r="D5" s="5" t="s">
        <v>27</v>
      </c>
      <c r="E5" s="45" t="s">
        <v>259</v>
      </c>
      <c r="F5" s="43"/>
      <c r="G5" s="4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AMD5" s="46"/>
      <c r="AME5" s="46"/>
      <c r="AMF5" s="46"/>
      <c r="AMG5" s="46"/>
      <c r="AMH5" s="46"/>
      <c r="AMI5" s="46"/>
    </row>
    <row r="6" spans="1:1023" ht="30">
      <c r="A6" s="29"/>
      <c r="B6" s="42" t="str">
        <f>Critères!B5</f>
        <v>1.3</v>
      </c>
      <c r="C6" s="43" t="str">
        <f>Critères!C5</f>
        <v>Pour chaque image porteuse d'information ayant une alternative textuelle, cette alternative est-elle pertinente (hors cas particuliers) ?</v>
      </c>
      <c r="D6" s="5" t="s">
        <v>27</v>
      </c>
      <c r="E6" s="45" t="s">
        <v>259</v>
      </c>
      <c r="F6" s="43"/>
      <c r="G6" s="4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1023" ht="30">
      <c r="A7" s="29"/>
      <c r="B7" s="42" t="str">
        <f>Critères!B6</f>
        <v>1.4</v>
      </c>
      <c r="C7" s="43" t="str">
        <f>Critères!C6</f>
        <v>Pour chaque image utilisée comme CAPTCHA ou comme image-test, ayant une alternative textuelle, cette alternative permet-elle d’identifier la nature et la fonction de l’image ?</v>
      </c>
      <c r="D7" s="5" t="s">
        <v>27</v>
      </c>
      <c r="E7" s="45" t="s">
        <v>259</v>
      </c>
      <c r="F7" s="43"/>
      <c r="G7" s="43"/>
    </row>
    <row r="8" spans="1:1023" ht="30">
      <c r="A8" s="29"/>
      <c r="B8" s="42" t="str">
        <f>Critères!B7</f>
        <v>1.5</v>
      </c>
      <c r="C8" s="43" t="str">
        <f>Critères!C7</f>
        <v>Pour chaque image utilisée comme CAPTCHA, une solution d’accès alternatif au contenu ou à la fonction du CAPTCHA est-elle présente ?</v>
      </c>
      <c r="D8" s="5" t="s">
        <v>27</v>
      </c>
      <c r="E8" s="45" t="s">
        <v>259</v>
      </c>
      <c r="F8" s="45"/>
      <c r="G8" s="43"/>
    </row>
    <row r="9" spans="1:1023" ht="22.75" customHeight="1">
      <c r="A9" s="29"/>
      <c r="B9" s="42" t="str">
        <f>Critères!B8</f>
        <v>1.6</v>
      </c>
      <c r="C9" s="43" t="str">
        <f>Critères!C8</f>
        <v>Chaque image porteuse d’information a-t-elle, si nécessaire, une description détaillée ?</v>
      </c>
      <c r="D9" s="5" t="s">
        <v>27</v>
      </c>
      <c r="E9" s="45" t="s">
        <v>259</v>
      </c>
      <c r="F9" s="43"/>
      <c r="G9" s="43"/>
    </row>
    <row r="10" spans="1:1023" ht="25" customHeight="1">
      <c r="A10" s="29"/>
      <c r="B10" s="42" t="str">
        <f>Critères!B9</f>
        <v>1.7</v>
      </c>
      <c r="C10" s="43" t="str">
        <f>Critères!C9</f>
        <v>Pour chaque image porteuse d’information ayant une description détaillée, cette description est-elle pertinente ?</v>
      </c>
      <c r="D10" s="5" t="s">
        <v>27</v>
      </c>
      <c r="E10" s="45" t="s">
        <v>259</v>
      </c>
      <c r="F10" s="43"/>
      <c r="G10" s="43"/>
    </row>
    <row r="11" spans="1:1023" ht="41.25" customHeight="1">
      <c r="A11" s="29"/>
      <c r="B11" s="42" t="str">
        <f>Critères!B10</f>
        <v>1.8</v>
      </c>
      <c r="C11" s="43" t="str">
        <f>Critères!C10</f>
        <v>Chaque image texte porteuse d’information, en l’absence d’un mécanisme de remplacement, doit si possible être remplacée par du texte stylé. Cette règle est-elle respectée (hors cas particuliers) ?</v>
      </c>
      <c r="D11" s="5" t="s">
        <v>27</v>
      </c>
      <c r="E11" s="44" t="s">
        <v>259</v>
      </c>
      <c r="F11" s="43"/>
      <c r="G11" s="43"/>
    </row>
    <row r="12" spans="1:1023" ht="27.75" customHeight="1">
      <c r="A12" s="29"/>
      <c r="B12" s="42" t="str">
        <f>Critères!B11</f>
        <v>1.9</v>
      </c>
      <c r="C12" s="43" t="str">
        <f>Critères!C11</f>
        <v>Chaque légende d’image est-elle, si nécessaire, correctement reliée à l’image correspondante ?</v>
      </c>
      <c r="D12" s="5" t="s">
        <v>27</v>
      </c>
      <c r="E12" s="44" t="s">
        <v>259</v>
      </c>
      <c r="F12" s="43"/>
      <c r="G12" s="43"/>
    </row>
    <row r="13" spans="1:1023" ht="15.5">
      <c r="A13" s="29" t="str">
        <f>Critères!$A$13</f>
        <v>CADRES</v>
      </c>
      <c r="B13" s="47" t="str">
        <f>Critères!B13</f>
        <v>2.1</v>
      </c>
      <c r="C13" s="48" t="str">
        <f>Critères!C13</f>
        <v>Chaque cadre a-t-il un titre de cadre ?</v>
      </c>
      <c r="D13" s="5" t="s">
        <v>27</v>
      </c>
      <c r="E13" s="44" t="s">
        <v>259</v>
      </c>
      <c r="F13" s="49"/>
      <c r="G13" s="48"/>
    </row>
    <row r="14" spans="1:1023" ht="33.5" customHeight="1">
      <c r="A14" s="29"/>
      <c r="B14" s="47" t="str">
        <f>Critères!B14</f>
        <v>2.2</v>
      </c>
      <c r="C14" s="48" t="str">
        <f>Critères!C14</f>
        <v>Pour chaque cadre ayant un titre de cadre, ce titre de cadre est-il pertinent ?</v>
      </c>
      <c r="D14" s="5" t="s">
        <v>27</v>
      </c>
      <c r="E14" s="44" t="s">
        <v>259</v>
      </c>
      <c r="F14" s="48"/>
      <c r="G14" s="48"/>
    </row>
    <row r="15" spans="1:1023" ht="20">
      <c r="A15" s="29" t="str">
        <f>Critères!$A$16</f>
        <v>COULEURS</v>
      </c>
      <c r="B15" s="42" t="str">
        <f>Critères!B16</f>
        <v>3.1</v>
      </c>
      <c r="C15" s="43" t="str">
        <f>Critères!C16</f>
        <v>Dans chaque page web, l’information ne doit pas être donnée uniquement par la couleur. Cette règle est-elle respectée ?</v>
      </c>
      <c r="D15" s="5" t="s">
        <v>27</v>
      </c>
      <c r="E15" s="45" t="s">
        <v>259</v>
      </c>
      <c r="F15" s="43"/>
      <c r="G15" s="43"/>
    </row>
    <row r="16" spans="1:1023" ht="30">
      <c r="A16" s="29"/>
      <c r="B16" s="42" t="str">
        <f>Critères!B17</f>
        <v>3.2</v>
      </c>
      <c r="C16" s="43" t="str">
        <f>Critères!C17</f>
        <v>Dans chaque page web, le contraste entre la couleur du texte et la couleur de son arrière-plan est-il suffisamment élevé (hors cas particuliers) ?</v>
      </c>
      <c r="D16" s="5" t="s">
        <v>27</v>
      </c>
      <c r="E16" s="45" t="s">
        <v>259</v>
      </c>
      <c r="F16" s="48"/>
      <c r="G16" s="48"/>
    </row>
    <row r="17" spans="1:7" ht="40">
      <c r="A17" s="29"/>
      <c r="B17" s="42" t="str">
        <f>Critères!B18</f>
        <v>3.3</v>
      </c>
      <c r="C17" s="43" t="str">
        <f>Critères!C18</f>
        <v>Dans chaque page web, les couleurs utilisées dans les composants d’interface ou les éléments graphiques porteurs d’informations sont-elles suffisamment contrastées (hors cas particuliers) ?</v>
      </c>
      <c r="D17" s="5" t="s">
        <v>27</v>
      </c>
      <c r="E17" s="45" t="s">
        <v>259</v>
      </c>
      <c r="F17" s="48"/>
      <c r="G17" s="48"/>
    </row>
    <row r="18" spans="1:7" ht="30">
      <c r="A18" s="29" t="str">
        <f>Critères!$A$20</f>
        <v>MULTIMÉDIA</v>
      </c>
      <c r="B18" s="42" t="str">
        <f>Critères!B20</f>
        <v>4.1</v>
      </c>
      <c r="C18" s="43" t="str">
        <f>Critères!C20</f>
        <v>Chaque média temporel pré-enregistré a-t-il, si nécessaire, une transcription textuelle ou une audiodescription (hors cas particuliers) ?</v>
      </c>
      <c r="D18" s="5" t="s">
        <v>27</v>
      </c>
      <c r="E18" s="45" t="s">
        <v>259</v>
      </c>
      <c r="F18" s="48"/>
      <c r="G18" s="48"/>
    </row>
    <row r="19" spans="1:7" ht="30">
      <c r="A19" s="29"/>
      <c r="B19" s="42" t="str">
        <f>Critères!B21</f>
        <v>4.2</v>
      </c>
      <c r="C19" s="43" t="str">
        <f>Critères!C21</f>
        <v>Pour chaque média temporel pré-enregistré ayant une transcription textuelle ou une audiodescription synchronisée, celles-ci sont-elles pertinentes (hors cas particuliers) ?</v>
      </c>
      <c r="D19" s="5" t="s">
        <v>27</v>
      </c>
      <c r="E19" s="45" t="s">
        <v>259</v>
      </c>
      <c r="F19" s="48"/>
      <c r="G19" s="48"/>
    </row>
    <row r="20" spans="1:7" ht="30">
      <c r="A20" s="29"/>
      <c r="B20" s="42" t="str">
        <f>Critères!B22</f>
        <v>4.3</v>
      </c>
      <c r="C20" s="43" t="str">
        <f>Critères!C22</f>
        <v>Chaque média temporel synchronisé pré-enregistré a-t-il, si nécessaire, des sous-titres synchronisés (hors cas particuliers) ?</v>
      </c>
      <c r="D20" s="5" t="s">
        <v>27</v>
      </c>
      <c r="E20" s="45" t="s">
        <v>259</v>
      </c>
      <c r="F20" s="48"/>
      <c r="G20" s="48"/>
    </row>
    <row r="21" spans="1:7" ht="30">
      <c r="A21" s="29"/>
      <c r="B21" s="42" t="str">
        <f>Critères!B23</f>
        <v>4.4</v>
      </c>
      <c r="C21" s="43" t="str">
        <f>Critères!C23</f>
        <v>Pour chaque média temporel synchronisé pré-enregistré ayant des sous-titres synchronisés, ces sous-titres sont-ils pertinents ?</v>
      </c>
      <c r="D21" s="5" t="s">
        <v>27</v>
      </c>
      <c r="E21" s="45" t="s">
        <v>259</v>
      </c>
      <c r="F21" s="48"/>
      <c r="G21" s="48"/>
    </row>
    <row r="22" spans="1:7" ht="20">
      <c r="A22" s="29"/>
      <c r="B22" s="42" t="str">
        <f>Critères!B24</f>
        <v>4.5</v>
      </c>
      <c r="C22" s="43" t="str">
        <f>Critères!C24</f>
        <v>Chaque média temporel pré-enregistré a-t-il, si nécessaire, une audiodescription synchronisée (hors cas particuliers) ?</v>
      </c>
      <c r="D22" s="5" t="s">
        <v>27</v>
      </c>
      <c r="E22" s="45" t="s">
        <v>259</v>
      </c>
      <c r="F22" s="48"/>
      <c r="G22" s="48"/>
    </row>
    <row r="23" spans="1:7" ht="20">
      <c r="A23" s="29"/>
      <c r="B23" s="42" t="str">
        <f>Critères!B25</f>
        <v>4.6</v>
      </c>
      <c r="C23" s="43" t="str">
        <f>Critères!C25</f>
        <v>Pour chaque média temporel pré-enregistré ayant une audiodescription synchronisée, celle-ci est-elle pertinente ?</v>
      </c>
      <c r="D23" s="5" t="s">
        <v>27</v>
      </c>
      <c r="E23" s="45" t="s">
        <v>259</v>
      </c>
      <c r="F23" s="48"/>
      <c r="G23" s="48"/>
    </row>
    <row r="24" spans="1:7" ht="20">
      <c r="A24" s="29"/>
      <c r="B24" s="42" t="str">
        <f>Critères!B26</f>
        <v>4.7</v>
      </c>
      <c r="C24" s="43" t="str">
        <f>Critères!C26</f>
        <v>Chaque média temporel est-il clairement identifiable (hors cas particuliers) ?</v>
      </c>
      <c r="D24" s="5" t="s">
        <v>27</v>
      </c>
      <c r="E24" s="45" t="s">
        <v>259</v>
      </c>
      <c r="F24" s="48"/>
      <c r="G24" s="48"/>
    </row>
    <row r="25" spans="1:7" ht="20">
      <c r="A25" s="29"/>
      <c r="B25" s="42" t="str">
        <f>Critères!B27</f>
        <v>4.8</v>
      </c>
      <c r="C25" s="43" t="str">
        <f>Critères!C27</f>
        <v>Chaque média non temporel a-t-il, si nécessaire, une alternative (hors cas particuliers) ?</v>
      </c>
      <c r="D25" s="5" t="s">
        <v>27</v>
      </c>
      <c r="E25" s="45" t="s">
        <v>259</v>
      </c>
      <c r="F25" s="48"/>
      <c r="G25" s="48"/>
    </row>
    <row r="26" spans="1:7" ht="20">
      <c r="A26" s="29"/>
      <c r="B26" s="42" t="str">
        <f>Critères!B28</f>
        <v>4.9</v>
      </c>
      <c r="C26" s="43" t="str">
        <f>Critères!C28</f>
        <v>Pour chaque média non temporel ayant une alternative, cette alternative est-elle pertinente ?</v>
      </c>
      <c r="D26" s="5" t="s">
        <v>27</v>
      </c>
      <c r="E26" s="45" t="s">
        <v>259</v>
      </c>
      <c r="F26" s="48"/>
      <c r="G26" s="48"/>
    </row>
    <row r="27" spans="1:7" ht="20">
      <c r="A27" s="29"/>
      <c r="B27" s="42" t="str">
        <f>Critères!B29</f>
        <v>4.10</v>
      </c>
      <c r="C27" s="43" t="str">
        <f>Critères!C29</f>
        <v>Chaque son déclenché automatiquement est-il contrôlable par l’utilisateur ?</v>
      </c>
      <c r="D27" s="5" t="s">
        <v>27</v>
      </c>
      <c r="E27" s="45" t="s">
        <v>259</v>
      </c>
      <c r="F27" s="48"/>
      <c r="G27" s="48"/>
    </row>
    <row r="28" spans="1:7" ht="30">
      <c r="A28" s="29"/>
      <c r="B28" s="42" t="str">
        <f>Critères!B30</f>
        <v>4.11</v>
      </c>
      <c r="C28" s="43" t="str">
        <f>Critères!C30</f>
        <v>La consultation de chaque média temporel est-elle, si nécessaire, contrôlable par le clavier et tout dispositif de pointage ?</v>
      </c>
      <c r="D28" s="5" t="s">
        <v>27</v>
      </c>
      <c r="E28" s="45" t="s">
        <v>259</v>
      </c>
      <c r="F28" s="48"/>
      <c r="G28" s="48"/>
    </row>
    <row r="29" spans="1:7" ht="20">
      <c r="A29" s="29"/>
      <c r="B29" s="42" t="str">
        <f>Critères!B31</f>
        <v>4.12</v>
      </c>
      <c r="C29" s="43" t="str">
        <f>Critères!C31</f>
        <v>La consultation de chaque média non temporel est-elle contrôlable par le clavier et tout dispositif de pointage ?</v>
      </c>
      <c r="D29" s="5" t="s">
        <v>27</v>
      </c>
      <c r="E29" s="45" t="s">
        <v>259</v>
      </c>
      <c r="F29" s="48"/>
      <c r="G29" s="48"/>
    </row>
    <row r="30" spans="1:7" ht="20">
      <c r="A30" s="29"/>
      <c r="B30" s="42" t="str">
        <f>Critères!B32</f>
        <v>4.13</v>
      </c>
      <c r="C30" s="43" t="str">
        <f>Critères!C32</f>
        <v>Chaque média temporel et non temporel est-il compatible avec les technologies d’assistance (hors cas particuliers) ?</v>
      </c>
      <c r="D30" s="5" t="s">
        <v>27</v>
      </c>
      <c r="E30" s="45" t="s">
        <v>259</v>
      </c>
      <c r="F30" s="48"/>
      <c r="G30" s="48"/>
    </row>
    <row r="31" spans="1:7" ht="15.5">
      <c r="A31" s="29" t="str">
        <f>Critères!$A$34</f>
        <v>TABLEAUX</v>
      </c>
      <c r="B31" s="42" t="str">
        <f>Critères!B34</f>
        <v>5.1</v>
      </c>
      <c r="C31" s="43" t="str">
        <f>Critères!C34</f>
        <v>Chaque tableau de données complexe a-t-il un résumé ?</v>
      </c>
      <c r="D31" s="5" t="s">
        <v>27</v>
      </c>
      <c r="E31" s="45" t="s">
        <v>259</v>
      </c>
      <c r="F31" s="43"/>
      <c r="G31" s="43"/>
    </row>
    <row r="32" spans="1:7" ht="20">
      <c r="A32" s="29"/>
      <c r="B32" s="42" t="str">
        <f>Critères!B35</f>
        <v>5.2</v>
      </c>
      <c r="C32" s="43" t="str">
        <f>Critères!C35</f>
        <v>Pour chaque tableau de données complexe ayant un résumé, celui-ci est-il pertinent ?</v>
      </c>
      <c r="D32" s="5" t="s">
        <v>27</v>
      </c>
      <c r="E32" s="45" t="s">
        <v>259</v>
      </c>
      <c r="F32" s="43"/>
      <c r="G32" s="43"/>
    </row>
    <row r="33" spans="1:7" ht="20">
      <c r="A33" s="29"/>
      <c r="B33" s="42" t="str">
        <f>Critères!B36</f>
        <v>5.3</v>
      </c>
      <c r="C33" s="43" t="str">
        <f>Critères!C36</f>
        <v>Pour chaque tableau de mise en forme, le contenu linéarisé reste-t-il compréhensible ?</v>
      </c>
      <c r="D33" s="5" t="s">
        <v>27</v>
      </c>
      <c r="E33" s="45" t="s">
        <v>259</v>
      </c>
      <c r="F33" s="43"/>
      <c r="G33" s="43"/>
    </row>
    <row r="34" spans="1:7" ht="20">
      <c r="A34" s="29"/>
      <c r="B34" s="42" t="str">
        <f>Critères!B37</f>
        <v>5.4</v>
      </c>
      <c r="C34" s="43" t="str">
        <f>Critères!C37</f>
        <v>Pour chaque tableau de données ayant un titre, le titre est-il correctement associé au tableau de données ?</v>
      </c>
      <c r="D34" s="5" t="s">
        <v>27</v>
      </c>
      <c r="E34" s="45" t="s">
        <v>259</v>
      </c>
      <c r="F34" s="43"/>
      <c r="G34" s="43"/>
    </row>
    <row r="35" spans="1:7" ht="20">
      <c r="A35" s="29"/>
      <c r="B35" s="42" t="str">
        <f>Critères!B38</f>
        <v>5.5</v>
      </c>
      <c r="C35" s="43" t="str">
        <f>Critères!C38</f>
        <v>Pour chaque tableau de données ayant un titre, celui-ci est-il pertinent ?</v>
      </c>
      <c r="D35" s="5" t="s">
        <v>27</v>
      </c>
      <c r="E35" s="45" t="s">
        <v>259</v>
      </c>
      <c r="F35" s="48"/>
      <c r="G35" s="48"/>
    </row>
    <row r="36" spans="1:7" ht="20">
      <c r="A36" s="29"/>
      <c r="B36" s="42" t="str">
        <f>Critères!B39</f>
        <v>5.6</v>
      </c>
      <c r="C36" s="43" t="str">
        <f>Critères!C39</f>
        <v>Pour chaque tableau de données, chaque en-tête de colonnes et chaque en-tête de lignes sont-ils correctement déclarés ?</v>
      </c>
      <c r="D36" s="5" t="s">
        <v>27</v>
      </c>
      <c r="E36" s="45" t="s">
        <v>259</v>
      </c>
      <c r="F36" s="48"/>
      <c r="G36" s="48"/>
    </row>
    <row r="37" spans="1:7" ht="30">
      <c r="A37" s="29"/>
      <c r="B37" s="42" t="str">
        <f>Critères!B40</f>
        <v>5.7</v>
      </c>
      <c r="C37" s="43" t="str">
        <f>Critères!C40</f>
        <v>Pour chaque tableau de données, la technique appropriée permettant d’associer chaque cellule avec ses en-têtes est-elle utilisée (hors cas particuliers) ?</v>
      </c>
      <c r="D37" s="5" t="s">
        <v>27</v>
      </c>
      <c r="E37" s="45" t="s">
        <v>259</v>
      </c>
      <c r="F37" s="48"/>
      <c r="G37" s="48"/>
    </row>
    <row r="38" spans="1:7" ht="30">
      <c r="A38" s="29"/>
      <c r="B38" s="42" t="str">
        <f>Critères!B41</f>
        <v>5.8</v>
      </c>
      <c r="C38" s="43" t="str">
        <f>Critères!C41</f>
        <v>Chaque tableau de mise en forme ne doit pas utiliser d’éléments propres aux tableaux de données. Cette règle est-elle respectée ?</v>
      </c>
      <c r="D38" s="5" t="s">
        <v>27</v>
      </c>
      <c r="E38" s="45" t="s">
        <v>259</v>
      </c>
      <c r="F38" s="48"/>
      <c r="G38" s="48"/>
    </row>
    <row r="39" spans="1:7" ht="15.5">
      <c r="A39" s="29" t="str">
        <f>Critères!$A$43</f>
        <v>LIENS</v>
      </c>
      <c r="B39" s="42" t="str">
        <f>Critères!B43</f>
        <v>6.1</v>
      </c>
      <c r="C39" s="43" t="str">
        <f>Critères!C43</f>
        <v>Chaque lien est-il explicite (hors cas particuliers) ?</v>
      </c>
      <c r="D39" s="5" t="s">
        <v>27</v>
      </c>
      <c r="E39" s="45" t="s">
        <v>259</v>
      </c>
      <c r="F39" s="43"/>
      <c r="G39" s="43"/>
    </row>
    <row r="40" spans="1:7" ht="15.5">
      <c r="A40" s="29"/>
      <c r="B40" s="42" t="str">
        <f>Critères!B44</f>
        <v>6.2</v>
      </c>
      <c r="C40" s="43" t="str">
        <f>Critères!C44</f>
        <v>Dans chaque page web, chaque lien a-t-il un intitulé ?</v>
      </c>
      <c r="D40" s="5" t="s">
        <v>27</v>
      </c>
      <c r="E40" s="45" t="s">
        <v>259</v>
      </c>
      <c r="F40" s="43"/>
      <c r="G40" s="43"/>
    </row>
    <row r="41" spans="1:7" ht="20">
      <c r="A41" s="29" t="str">
        <f>Critères!$A$46</f>
        <v>SCRIPTS</v>
      </c>
      <c r="B41" s="42" t="str">
        <f>Critères!B46</f>
        <v>7.1</v>
      </c>
      <c r="C41" s="43" t="str">
        <f>Critères!C46</f>
        <v>Chaque script est-il, si nécessaire, compatible avec les technologies d’assistance ?</v>
      </c>
      <c r="D41" s="5" t="s">
        <v>27</v>
      </c>
      <c r="E41" s="45" t="s">
        <v>259</v>
      </c>
      <c r="F41" s="48"/>
      <c r="G41" s="48"/>
    </row>
    <row r="42" spans="1:7" ht="20">
      <c r="A42" s="29"/>
      <c r="B42" s="42" t="str">
        <f>Critères!B47</f>
        <v>7.2</v>
      </c>
      <c r="C42" s="43" t="str">
        <f>Critères!C47</f>
        <v>Pour chaque script ayant une alternative, cette alternative est-elle pertinente ?</v>
      </c>
      <c r="D42" s="5" t="s">
        <v>27</v>
      </c>
      <c r="E42" s="45" t="s">
        <v>259</v>
      </c>
      <c r="F42" s="48"/>
      <c r="G42" s="48"/>
    </row>
    <row r="43" spans="1:7" ht="20">
      <c r="A43" s="29"/>
      <c r="B43" s="42" t="str">
        <f>Critères!B48</f>
        <v>7.3</v>
      </c>
      <c r="C43" s="43" t="str">
        <f>Critères!C48</f>
        <v>Chaque script est-il contrôlable par le clavier et par tout dispositif de pointage (hors cas particuliers) ?</v>
      </c>
      <c r="D43" s="5" t="s">
        <v>27</v>
      </c>
      <c r="E43" s="45" t="s">
        <v>259</v>
      </c>
      <c r="F43" s="48"/>
      <c r="G43" s="48"/>
    </row>
    <row r="44" spans="1:7" ht="20">
      <c r="A44" s="29"/>
      <c r="B44" s="42" t="str">
        <f>Critères!B49</f>
        <v>7.4</v>
      </c>
      <c r="C44" s="43" t="str">
        <f>Critères!C49</f>
        <v>Pour chaque script qui initie un changement de contexte, l’utilisateur est-il averti ou en a-t-il le contrôle ?</v>
      </c>
      <c r="D44" s="5" t="s">
        <v>27</v>
      </c>
      <c r="E44" s="45" t="s">
        <v>259</v>
      </c>
      <c r="F44" s="48"/>
      <c r="G44" s="48"/>
    </row>
    <row r="45" spans="1:7" ht="20">
      <c r="A45" s="29"/>
      <c r="B45" s="42" t="str">
        <f>Critères!B50</f>
        <v>7.5</v>
      </c>
      <c r="C45" s="43" t="str">
        <f>Critères!C50</f>
        <v>Dans chaque page web, les messages de statut sont-ils correctement restitués par les technologies d’assistance ?</v>
      </c>
      <c r="D45" s="5" t="s">
        <v>27</v>
      </c>
      <c r="E45" s="45" t="s">
        <v>259</v>
      </c>
      <c r="F45" s="48"/>
      <c r="G45" s="48"/>
    </row>
    <row r="46" spans="1:7" ht="15.5">
      <c r="A46" s="29" t="str">
        <f>Critères!$A$52</f>
        <v>ÉLÉMENTS OBLIGATOIRES</v>
      </c>
      <c r="B46" s="42" t="str">
        <f>Critères!B52</f>
        <v>8.1</v>
      </c>
      <c r="C46" s="43" t="str">
        <f>Critères!C52</f>
        <v>Chaque page web est-elle définie par un type de document ?</v>
      </c>
      <c r="D46" s="5" t="s">
        <v>27</v>
      </c>
      <c r="E46" s="45" t="s">
        <v>259</v>
      </c>
      <c r="F46" s="48"/>
      <c r="G46" s="48"/>
    </row>
    <row r="47" spans="1:7" ht="20">
      <c r="A47" s="29"/>
      <c r="B47" s="42" t="str">
        <f>Critères!B53</f>
        <v>8.2</v>
      </c>
      <c r="C47" s="43" t="str">
        <f>Critères!C53</f>
        <v>Pour chaque page web, le code source généré est-il valide selon le type de document spécifié (hors cas particuliers) ?</v>
      </c>
      <c r="D47" s="5" t="s">
        <v>27</v>
      </c>
      <c r="E47" s="45" t="s">
        <v>259</v>
      </c>
      <c r="F47" s="48"/>
      <c r="G47" s="48"/>
    </row>
    <row r="48" spans="1:7" ht="20">
      <c r="A48" s="29"/>
      <c r="B48" s="42" t="str">
        <f>Critères!B54</f>
        <v>8.3</v>
      </c>
      <c r="C48" s="43" t="str">
        <f>Critères!C54</f>
        <v>Dans chaque page web, la langue par défaut est-elle présente ?</v>
      </c>
      <c r="D48" s="5" t="s">
        <v>27</v>
      </c>
      <c r="E48" s="45" t="s">
        <v>259</v>
      </c>
      <c r="F48" s="48"/>
      <c r="G48" s="48"/>
    </row>
    <row r="49" spans="1:7" ht="20">
      <c r="A49" s="29"/>
      <c r="B49" s="42" t="str">
        <f>Critères!B55</f>
        <v>8.4</v>
      </c>
      <c r="C49" s="43" t="str">
        <f>Critères!C55</f>
        <v>Pour chaque page web ayant une langue par défaut, le code de langue est-il pertinent ?</v>
      </c>
      <c r="D49" s="5" t="s">
        <v>27</v>
      </c>
      <c r="E49" s="45" t="s">
        <v>259</v>
      </c>
      <c r="F49" s="48"/>
      <c r="G49" s="48"/>
    </row>
    <row r="50" spans="1:7" ht="15.5">
      <c r="A50" s="29"/>
      <c r="B50" s="42" t="str">
        <f>Critères!B56</f>
        <v>8.5</v>
      </c>
      <c r="C50" s="43" t="str">
        <f>Critères!C56</f>
        <v>Chaque page web a-t-elle un titre de page ?</v>
      </c>
      <c r="D50" s="5" t="s">
        <v>27</v>
      </c>
      <c r="E50" s="45" t="s">
        <v>259</v>
      </c>
      <c r="F50" s="48"/>
      <c r="G50" s="48"/>
    </row>
    <row r="51" spans="1:7" ht="20">
      <c r="A51" s="29"/>
      <c r="B51" s="42" t="str">
        <f>Critères!B57</f>
        <v>8.6</v>
      </c>
      <c r="C51" s="43" t="str">
        <f>Critères!C57</f>
        <v>Pour chaque page web ayant un titre de page, ce titre est-il pertinent ?</v>
      </c>
      <c r="D51" s="5" t="s">
        <v>27</v>
      </c>
      <c r="E51" s="45" t="s">
        <v>259</v>
      </c>
      <c r="F51" s="48"/>
      <c r="G51" s="48"/>
    </row>
    <row r="52" spans="1:7" ht="20">
      <c r="A52" s="29"/>
      <c r="B52" s="42" t="str">
        <f>Critères!B58</f>
        <v>8.7</v>
      </c>
      <c r="C52" s="43" t="str">
        <f>Critères!C58</f>
        <v>Dans chaque page web, chaque changement de langue est-il indiqué dans le code source (hors cas particuliers) ?</v>
      </c>
      <c r="D52" s="5" t="s">
        <v>27</v>
      </c>
      <c r="E52" s="45" t="s">
        <v>259</v>
      </c>
      <c r="F52" s="48"/>
      <c r="G52" s="48"/>
    </row>
    <row r="53" spans="1:7" ht="20">
      <c r="A53" s="29"/>
      <c r="B53" s="42" t="str">
        <f>Critères!B59</f>
        <v>8.8</v>
      </c>
      <c r="C53" s="43" t="str">
        <f>Critères!C59</f>
        <v>Dans chaque page web, le code de langue de chaque changement de langue est-il valide et pertinent ?</v>
      </c>
      <c r="D53" s="5" t="s">
        <v>27</v>
      </c>
      <c r="E53" s="45" t="s">
        <v>259</v>
      </c>
      <c r="F53" s="48"/>
      <c r="G53" s="48"/>
    </row>
    <row r="54" spans="1:7" ht="30">
      <c r="A54" s="29"/>
      <c r="B54" s="42" t="str">
        <f>Critères!B60</f>
        <v>8.9</v>
      </c>
      <c r="C54" s="43" t="str">
        <f>Critères!C60</f>
        <v>Dans chaque page web, les balises ne doivent pas être utilisées uniquement à des fins de présentation. Cette règle est-elle respectée ?</v>
      </c>
      <c r="D54" s="5" t="s">
        <v>27</v>
      </c>
      <c r="E54" s="45" t="s">
        <v>259</v>
      </c>
      <c r="F54" s="48"/>
      <c r="G54" s="48"/>
    </row>
    <row r="55" spans="1:7" ht="20">
      <c r="A55" s="29"/>
      <c r="B55" s="42" t="str">
        <f>Critères!B61</f>
        <v>8.10</v>
      </c>
      <c r="C55" s="43" t="str">
        <f>Critères!C61</f>
        <v>Dans chaque page web, les changements du sens de lecture sont-ils signalés ?</v>
      </c>
      <c r="D55" s="5" t="s">
        <v>27</v>
      </c>
      <c r="E55" s="45" t="s">
        <v>259</v>
      </c>
      <c r="F55" s="48"/>
      <c r="G55" s="48"/>
    </row>
    <row r="56" spans="1:7" ht="20">
      <c r="A56" s="29" t="str">
        <f>Critères!$A$63</f>
        <v>STRUCTURATION</v>
      </c>
      <c r="B56" s="42" t="str">
        <f>Critères!B63</f>
        <v>9.1</v>
      </c>
      <c r="C56" s="43" t="str">
        <f>Critères!C63</f>
        <v>Dans chaque page web, l’information est-elle structurée par l’utilisation appropriée de titres ?</v>
      </c>
      <c r="D56" s="5" t="s">
        <v>27</v>
      </c>
      <c r="E56" s="45" t="s">
        <v>259</v>
      </c>
      <c r="F56" s="48"/>
      <c r="G56" s="48"/>
    </row>
    <row r="57" spans="1:7" ht="20">
      <c r="A57" s="29"/>
      <c r="B57" s="42" t="str">
        <f>Critères!B64</f>
        <v>9.2</v>
      </c>
      <c r="C57" s="43" t="str">
        <f>Critères!C64</f>
        <v>Dans chaque page web, la structure du document est-elle cohérente (hors cas particuliers) ?</v>
      </c>
      <c r="D57" s="5" t="s">
        <v>27</v>
      </c>
      <c r="E57" s="45" t="s">
        <v>259</v>
      </c>
      <c r="F57" s="48"/>
      <c r="G57" s="48"/>
    </row>
    <row r="58" spans="1:7" ht="20">
      <c r="A58" s="29"/>
      <c r="B58" s="42" t="str">
        <f>Critères!B65</f>
        <v>9.3</v>
      </c>
      <c r="C58" s="43" t="str">
        <f>Critères!C65</f>
        <v>Dans chaque page web, chaque liste est-elle correctement structurée ?</v>
      </c>
      <c r="D58" s="5" t="s">
        <v>27</v>
      </c>
      <c r="E58" s="45" t="s">
        <v>259</v>
      </c>
      <c r="F58" s="48"/>
      <c r="G58" s="48"/>
    </row>
    <row r="59" spans="1:7" ht="20">
      <c r="A59" s="29"/>
      <c r="B59" s="42" t="str">
        <f>Critères!B66</f>
        <v>9.4</v>
      </c>
      <c r="C59" s="43" t="str">
        <f>Critères!C66</f>
        <v>Dans chaque page web, chaque citation est-elle correctement indiquée ?</v>
      </c>
      <c r="D59" s="5" t="s">
        <v>27</v>
      </c>
      <c r="E59" s="45" t="s">
        <v>259</v>
      </c>
      <c r="F59" s="48"/>
      <c r="G59" s="48"/>
    </row>
    <row r="60" spans="1:7" ht="20">
      <c r="A60" s="29" t="str">
        <f>Critères!$A$68</f>
        <v>PRÉSENTATION</v>
      </c>
      <c r="B60" s="42" t="str">
        <f>Critères!B68</f>
        <v>10.1</v>
      </c>
      <c r="C60" s="43" t="str">
        <f>Critères!C68</f>
        <v>Dans le site web, des feuilles de styles sont-elles utilisées pour contrôler la présentation de l’information ?</v>
      </c>
      <c r="D60" s="5" t="s">
        <v>27</v>
      </c>
      <c r="E60" s="45" t="s">
        <v>259</v>
      </c>
      <c r="F60" s="48"/>
      <c r="G60" s="48"/>
    </row>
    <row r="61" spans="1:7" ht="30">
      <c r="A61" s="29"/>
      <c r="B61" s="42" t="str">
        <f>Critères!B69</f>
        <v>10.2</v>
      </c>
      <c r="C61" s="43" t="str">
        <f>Critères!C69</f>
        <v>Dans chaque page web, le contenu visible porteur d’information reste-t-il présent lorsque les feuilles de styles sont désactivées ?</v>
      </c>
      <c r="D61" s="5" t="s">
        <v>27</v>
      </c>
      <c r="E61" s="45" t="s">
        <v>259</v>
      </c>
      <c r="F61" s="48"/>
      <c r="G61" s="48"/>
    </row>
    <row r="62" spans="1:7" ht="30">
      <c r="A62" s="29"/>
      <c r="B62" s="42" t="str">
        <f>Critères!B70</f>
        <v>10.3</v>
      </c>
      <c r="C62" s="43" t="str">
        <f>Critères!C70</f>
        <v>Dans chaque page web, l’information reste-t-elle compréhensible lorsque les feuilles de styles sont désactivées ?</v>
      </c>
      <c r="D62" s="5" t="s">
        <v>27</v>
      </c>
      <c r="E62" s="45" t="s">
        <v>259</v>
      </c>
      <c r="F62" s="48"/>
      <c r="G62" s="48"/>
    </row>
    <row r="63" spans="1:7" ht="30">
      <c r="A63" s="29"/>
      <c r="B63" s="42" t="str">
        <f>Critères!B71</f>
        <v>10.4</v>
      </c>
      <c r="C63" s="43" t="str">
        <f>Critères!C71</f>
        <v>Dans chaque page web, le texte reste-t-il lisible lorsque la taille des caractères est augmentée jusqu’à 200%, au moins (hors cas particuliers) ?</v>
      </c>
      <c r="D63" s="5" t="s">
        <v>27</v>
      </c>
      <c r="E63" s="45" t="s">
        <v>259</v>
      </c>
      <c r="F63" s="48"/>
      <c r="G63" s="48"/>
    </row>
    <row r="64" spans="1:7" ht="20">
      <c r="A64" s="29"/>
      <c r="B64" s="42" t="str">
        <f>Critères!B72</f>
        <v>10.5</v>
      </c>
      <c r="C64" s="43" t="str">
        <f>Critères!C72</f>
        <v>Dans chaque page web, les déclarations CSS de couleurs de fond d’élément et de police sont-elles correctement utilisées ?</v>
      </c>
      <c r="D64" s="5" t="s">
        <v>27</v>
      </c>
      <c r="E64" s="45" t="s">
        <v>259</v>
      </c>
      <c r="F64" s="48"/>
      <c r="G64" s="48"/>
    </row>
    <row r="65" spans="1:7" ht="20">
      <c r="A65" s="29"/>
      <c r="B65" s="42" t="str">
        <f>Critères!B73</f>
        <v>10.6</v>
      </c>
      <c r="C65" s="43" t="str">
        <f>Critères!C73</f>
        <v>Dans chaque page web, chaque lien dont la nature n’est pas évidente est-il visible par rapport au texte environnant ?</v>
      </c>
      <c r="D65" s="5" t="s">
        <v>27</v>
      </c>
      <c r="E65" s="45" t="s">
        <v>259</v>
      </c>
      <c r="F65" s="48"/>
      <c r="G65" s="48"/>
    </row>
    <row r="66" spans="1:7" ht="20">
      <c r="A66" s="29"/>
      <c r="B66" s="42" t="str">
        <f>Critères!B74</f>
        <v>10.7</v>
      </c>
      <c r="C66" s="43" t="str">
        <f>Critères!C74</f>
        <v>Dans chaque page web, pour chaque élément recevant le focus, la prise de focus est-elle visible ?</v>
      </c>
      <c r="D66" s="5" t="s">
        <v>27</v>
      </c>
      <c r="E66" s="45" t="s">
        <v>259</v>
      </c>
      <c r="F66" s="43"/>
      <c r="G66" s="43"/>
    </row>
    <row r="67" spans="1:7" ht="20">
      <c r="A67" s="29"/>
      <c r="B67" s="42" t="str">
        <f>Critères!B75</f>
        <v>10.8</v>
      </c>
      <c r="C67" s="43" t="str">
        <f>Critères!C75</f>
        <v>Pour chaque page web, les contenus cachés ont-ils vocation à être ignorés par les technologies d’assistance ?</v>
      </c>
      <c r="D67" s="5" t="s">
        <v>27</v>
      </c>
      <c r="E67" s="45" t="s">
        <v>259</v>
      </c>
      <c r="F67" s="43"/>
      <c r="G67" s="43"/>
    </row>
    <row r="68" spans="1:7" ht="30">
      <c r="A68" s="29"/>
      <c r="B68" s="42" t="str">
        <f>Critères!B76</f>
        <v>10.9</v>
      </c>
      <c r="C68" s="43" t="str">
        <f>Critères!C76</f>
        <v>Dans chaque page web, l’information ne doit pas être donnée uniquement par la forme, taille ou position. Cette règle est-elle respectée ?</v>
      </c>
      <c r="D68" s="5" t="s">
        <v>27</v>
      </c>
      <c r="E68" s="45" t="s">
        <v>259</v>
      </c>
      <c r="F68" s="43"/>
      <c r="G68" s="43"/>
    </row>
    <row r="69" spans="1:7" ht="30">
      <c r="A69" s="29"/>
      <c r="B69" s="42" t="str">
        <f>Critères!B77</f>
        <v>10.10</v>
      </c>
      <c r="C69" s="43" t="str">
        <f>Critères!C77</f>
        <v>Dans chaque page web, l’information ne doit pas être donnée par la forme, taille ou position uniquement. Cette règle est-elle implémentée de façon pertinente ?</v>
      </c>
      <c r="D69" s="5" t="s">
        <v>27</v>
      </c>
      <c r="E69" s="45" t="s">
        <v>259</v>
      </c>
      <c r="F69" s="43"/>
      <c r="G69" s="43"/>
    </row>
    <row r="70" spans="1:7" ht="60">
      <c r="A70" s="29"/>
      <c r="B70" s="42" t="str">
        <f>Critères!B78</f>
        <v>10.11</v>
      </c>
      <c r="C70" s="43" t="str">
        <f>Critères!C78</f>
        <v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 ?</v>
      </c>
      <c r="D70" s="5" t="s">
        <v>27</v>
      </c>
      <c r="E70" s="45" t="s">
        <v>259</v>
      </c>
      <c r="F70" s="43"/>
      <c r="G70" s="43"/>
    </row>
    <row r="71" spans="1:7" ht="30">
      <c r="A71" s="29"/>
      <c r="B71" s="42" t="str">
        <f>Critères!B79</f>
        <v>10.12</v>
      </c>
      <c r="C71" s="43" t="str">
        <f>Critères!C79</f>
        <v>Dans chaque page web, les propriétés d’espacement du texte peuvent-elles être redéfinies par l’utilisateur sans perte de contenu ou de fonctionnalité (hors cas particuliers) ?</v>
      </c>
      <c r="D71" s="5" t="s">
        <v>27</v>
      </c>
      <c r="E71" s="45" t="s">
        <v>259</v>
      </c>
      <c r="F71" s="43"/>
      <c r="G71" s="43"/>
    </row>
    <row r="72" spans="1:7" ht="40">
      <c r="A72" s="29"/>
      <c r="B72" s="42" t="str">
        <f>Critères!B80</f>
        <v>10.13</v>
      </c>
      <c r="C72" s="43" t="str">
        <f>Critères!C80</f>
        <v>Dans chaque page web, les contenus additionnels apparaissant à la prise de focus ou au survol d’un composant d’interface sont-ils contrôlables par l’utilisateur (hors cas particuliers) ?</v>
      </c>
      <c r="D72" s="5" t="s">
        <v>27</v>
      </c>
      <c r="E72" s="45" t="s">
        <v>259</v>
      </c>
      <c r="F72" s="43"/>
      <c r="G72" s="43"/>
    </row>
    <row r="73" spans="1:7" ht="30">
      <c r="A73" s="29"/>
      <c r="B73" s="42" t="str">
        <f>Critères!B81</f>
        <v>10.14</v>
      </c>
      <c r="C73" s="43" t="str">
        <f>Critères!C81</f>
        <v>Dans chaque page web, les contenus additionnels apparaissant via les styles CSS uniquement peuvent-ils être rendus visibles au clavier et par tout dispositif de pointage ?</v>
      </c>
      <c r="D73" s="5" t="s">
        <v>27</v>
      </c>
      <c r="E73" s="45" t="s">
        <v>259</v>
      </c>
      <c r="F73" s="43"/>
      <c r="G73" s="43"/>
    </row>
    <row r="74" spans="1:7" ht="15.5">
      <c r="A74" s="29" t="str">
        <f>Critères!$A$83</f>
        <v>FORMULAIRES</v>
      </c>
      <c r="B74" s="42" t="str">
        <f>Critères!B83</f>
        <v>11.1</v>
      </c>
      <c r="C74" s="43" t="str">
        <f>Critères!C83</f>
        <v>Chaque champ de formulaire a-t-il une étiquette ?</v>
      </c>
      <c r="D74" s="5" t="s">
        <v>27</v>
      </c>
      <c r="E74" s="45" t="s">
        <v>259</v>
      </c>
      <c r="F74" s="43"/>
      <c r="G74" s="43"/>
    </row>
    <row r="75" spans="1:7" ht="20">
      <c r="A75" s="29"/>
      <c r="B75" s="42" t="str">
        <f>Critères!B84</f>
        <v>11.2</v>
      </c>
      <c r="C75" s="43" t="str">
        <f>Critères!C84</f>
        <v>Chaque étiquette associée à un champ de formulaire est-elle pertinente (hors cas particuliers) ?</v>
      </c>
      <c r="D75" s="5" t="s">
        <v>27</v>
      </c>
      <c r="E75" s="45" t="s">
        <v>259</v>
      </c>
      <c r="F75" s="43"/>
      <c r="G75" s="43"/>
    </row>
    <row r="76" spans="1:7" ht="40">
      <c r="A76" s="29"/>
      <c r="B76" s="42" t="str">
        <f>Critères!B85</f>
        <v>11.3</v>
      </c>
      <c r="C76" s="43" t="str">
        <f>Critères!C85</f>
        <v>Dans chaque formulaire, chaque étiquette associée à un champ de formulaire ayant la même fonction et répété plusieurs fois dans une même page ou dans un ensemble de pages est-elle cohérente ?</v>
      </c>
      <c r="D76" s="5" t="s">
        <v>27</v>
      </c>
      <c r="E76" s="45" t="s">
        <v>259</v>
      </c>
      <c r="F76" s="43"/>
      <c r="G76" s="43"/>
    </row>
    <row r="77" spans="1:7" ht="20">
      <c r="A77" s="29"/>
      <c r="B77" s="42" t="str">
        <f>Critères!B86</f>
        <v>11.4</v>
      </c>
      <c r="C77" s="43" t="str">
        <f>Critères!C86</f>
        <v>Dans chaque formulaire, chaque étiquette de champ et son champ associé sont-ils accolés (hors cas particuliers) ?</v>
      </c>
      <c r="D77" s="5" t="s">
        <v>27</v>
      </c>
      <c r="E77" s="45" t="s">
        <v>259</v>
      </c>
      <c r="F77" s="43"/>
      <c r="G77" s="43"/>
    </row>
    <row r="78" spans="1:7" ht="20">
      <c r="A78" s="29"/>
      <c r="B78" s="42" t="str">
        <f>Critères!B87</f>
        <v>11.5</v>
      </c>
      <c r="C78" s="43" t="str">
        <f>Critères!C87</f>
        <v>Dans chaque formulaire, les champs de même nature sont-ils regroupés, si nécessaire ?</v>
      </c>
      <c r="D78" s="5" t="s">
        <v>27</v>
      </c>
      <c r="E78" s="45" t="s">
        <v>259</v>
      </c>
      <c r="F78" s="43"/>
      <c r="G78" s="43"/>
    </row>
    <row r="79" spans="1:7" ht="20">
      <c r="A79" s="29"/>
      <c r="B79" s="42" t="str">
        <f>Critères!B88</f>
        <v>11.6</v>
      </c>
      <c r="C79" s="43" t="str">
        <f>Critères!C88</f>
        <v>Dans chaque formulaire, chaque regroupement de champs de même nature a-t-il une légende ?</v>
      </c>
      <c r="D79" s="5" t="s">
        <v>27</v>
      </c>
      <c r="E79" s="45" t="s">
        <v>259</v>
      </c>
      <c r="F79" s="48"/>
      <c r="G79" s="48"/>
    </row>
    <row r="80" spans="1:7" ht="30">
      <c r="A80" s="29"/>
      <c r="B80" s="42" t="str">
        <f>Critères!B89</f>
        <v>11.7</v>
      </c>
      <c r="C80" s="43" t="str">
        <f>Critères!C89</f>
        <v>Dans chaque formulaire, chaque légende associée à un regroupement de champs de même nature est-elle pertinente ?</v>
      </c>
      <c r="D80" s="5" t="s">
        <v>27</v>
      </c>
      <c r="E80" s="45" t="s">
        <v>259</v>
      </c>
      <c r="F80" s="48"/>
      <c r="G80" s="48"/>
    </row>
    <row r="81" spans="1:7" ht="20">
      <c r="A81" s="29"/>
      <c r="B81" s="42" t="str">
        <f>Critères!B90</f>
        <v>11.8</v>
      </c>
      <c r="C81" s="43" t="str">
        <f>Critères!C90</f>
        <v>Dans chaque formulaire, les items de même nature d’une liste de choix sont-ils regroupées de manière pertinente ?</v>
      </c>
      <c r="D81" s="5" t="s">
        <v>27</v>
      </c>
      <c r="E81" s="45" t="s">
        <v>259</v>
      </c>
      <c r="F81" s="48"/>
      <c r="G81" s="48"/>
    </row>
    <row r="82" spans="1:7" ht="20">
      <c r="A82" s="29"/>
      <c r="B82" s="42" t="str">
        <f>Critères!B91</f>
        <v>11.9</v>
      </c>
      <c r="C82" s="43" t="str">
        <f>Critères!C91</f>
        <v>Dans chaque formulaire, l’intitulé de chaque bouton est-il pertinent (hors cas particuliers) ?</v>
      </c>
      <c r="D82" s="5" t="s">
        <v>27</v>
      </c>
      <c r="E82" s="45" t="s">
        <v>259</v>
      </c>
      <c r="F82" s="48"/>
      <c r="G82" s="48"/>
    </row>
    <row r="83" spans="1:7" ht="20">
      <c r="A83" s="29"/>
      <c r="B83" s="42" t="str">
        <f>Critères!B92</f>
        <v>11.10</v>
      </c>
      <c r="C83" s="43" t="str">
        <f>Critères!C92</f>
        <v>Dans chaque formulaire, le contrôle de saisie est-il utilisé de manière pertinente (hors cas particuliers) ?</v>
      </c>
      <c r="D83" s="5" t="s">
        <v>27</v>
      </c>
      <c r="E83" s="45" t="s">
        <v>259</v>
      </c>
      <c r="F83" s="48"/>
      <c r="G83" s="48"/>
    </row>
    <row r="84" spans="1:7" ht="30">
      <c r="A84" s="29"/>
      <c r="B84" s="42" t="str">
        <f>Critères!B93</f>
        <v>11.11</v>
      </c>
      <c r="C84" s="43" t="str">
        <f>Critères!C93</f>
        <v>Dans chaque formulaire, le contrôle de saisie est-il accompagné, si nécessaire, de suggestions facilitant la correction des erreurs de saisie ?</v>
      </c>
      <c r="D84" s="5" t="s">
        <v>27</v>
      </c>
      <c r="E84" s="45" t="s">
        <v>259</v>
      </c>
      <c r="F84" s="48"/>
      <c r="G84" s="48"/>
    </row>
    <row r="85" spans="1:7" ht="50">
      <c r="A85" s="29"/>
      <c r="B85" s="42" t="str">
        <f>Critères!B94</f>
        <v>11.12</v>
      </c>
      <c r="C85" s="43" t="str">
        <f>Critères!C94</f>
        <v>Pour chaque formulaire qui modifie ou supprime des données, ou qui transmet des réponses à un test ou à un examen, ou dont la validation a des conséquences financières ou juridiques, les données saisies peuvent-elles être modifiées, mises à jour ou récupérées par l’utilisateur ?</v>
      </c>
      <c r="D85" s="5" t="s">
        <v>27</v>
      </c>
      <c r="E85" s="45" t="s">
        <v>259</v>
      </c>
      <c r="F85" s="48"/>
      <c r="G85" s="48"/>
    </row>
    <row r="86" spans="1:7" ht="30">
      <c r="A86" s="29"/>
      <c r="B86" s="42" t="str">
        <f>Critères!B95</f>
        <v>11.13</v>
      </c>
      <c r="C86" s="43" t="str">
        <f>Critères!C95</f>
        <v>La finalité d’un champ de saisie peut-elle être déduite pour faciliter le remplissage automatique des champs avec les données de l’utilisateur ?</v>
      </c>
      <c r="D86" s="5" t="s">
        <v>27</v>
      </c>
      <c r="E86" s="45" t="s">
        <v>259</v>
      </c>
      <c r="F86" s="48"/>
      <c r="G86" s="48"/>
    </row>
    <row r="87" spans="1:7" ht="20">
      <c r="A87" s="29" t="str">
        <f>Critères!$A$97</f>
        <v>NAVIGATION</v>
      </c>
      <c r="B87" s="42" t="str">
        <f>Critères!B97</f>
        <v>12.1</v>
      </c>
      <c r="C87" s="43" t="str">
        <f>Critères!C97</f>
        <v>Chaque ensemble de pages dispose-t-il de deux systèmes de navigation différents, au moins (hors cas particuliers) ?</v>
      </c>
      <c r="D87" s="5" t="s">
        <v>27</v>
      </c>
      <c r="E87" s="45" t="s">
        <v>259</v>
      </c>
      <c r="F87" s="48"/>
      <c r="G87" s="48"/>
    </row>
    <row r="88" spans="1:7" ht="30">
      <c r="A88" s="29"/>
      <c r="B88" s="42" t="str">
        <f>Critères!B98</f>
        <v>12.2</v>
      </c>
      <c r="C88" s="43" t="str">
        <f>Critères!C98</f>
        <v>Dans chaque ensemble de pages, le menu et les barres de navigation sont-ils toujours à la même place (hors cas particuliers) ?</v>
      </c>
      <c r="D88" s="5" t="s">
        <v>27</v>
      </c>
      <c r="E88" s="45" t="s">
        <v>259</v>
      </c>
      <c r="F88" s="48"/>
      <c r="G88" s="48"/>
    </row>
    <row r="89" spans="1:7" ht="15.5">
      <c r="A89" s="29"/>
      <c r="B89" s="42" t="str">
        <f>Critères!B99</f>
        <v>12.3</v>
      </c>
      <c r="C89" s="43" t="str">
        <f>Critères!C99</f>
        <v>La page « plan du site » est-elle pertinente ?</v>
      </c>
      <c r="D89" s="5" t="s">
        <v>27</v>
      </c>
      <c r="E89" s="45" t="s">
        <v>259</v>
      </c>
      <c r="F89" s="48"/>
      <c r="G89" s="48"/>
    </row>
    <row r="90" spans="1:7" ht="20">
      <c r="A90" s="29"/>
      <c r="B90" s="42" t="str">
        <f>Critères!B100</f>
        <v>12.4</v>
      </c>
      <c r="C90" s="43" t="str">
        <f>Critères!C100</f>
        <v>Dans chaque ensemble de pages, la page « plan du site » est-elle atteignable de manière identique ?</v>
      </c>
      <c r="D90" s="5" t="s">
        <v>27</v>
      </c>
      <c r="E90" s="45" t="s">
        <v>259</v>
      </c>
      <c r="F90" s="43"/>
      <c r="G90" s="43"/>
    </row>
    <row r="91" spans="1:7" ht="20">
      <c r="A91" s="29"/>
      <c r="B91" s="42" t="str">
        <f>Critères!B101</f>
        <v>12.5</v>
      </c>
      <c r="C91" s="43" t="str">
        <f>Critères!C101</f>
        <v>Dans chaque ensemble de pages, le moteur de recherche est-il atteignable de manière identique ?</v>
      </c>
      <c r="D91" s="5" t="s">
        <v>27</v>
      </c>
      <c r="E91" s="45" t="s">
        <v>259</v>
      </c>
      <c r="F91" s="43"/>
      <c r="G91" s="43"/>
    </row>
    <row r="92" spans="1:7" ht="40">
      <c r="A92" s="29"/>
      <c r="B92" s="42" t="str">
        <f>Critères!B102</f>
        <v>12.6</v>
      </c>
      <c r="C92" s="43" t="str">
        <f>Critères!C102</f>
        <v>Les zones de regroupement de contenus présentes dans plusieurs pages web (zones d’en-tête, de navigation principale, de contenu principal, de pied de page et de moteur de recherche) peuvent-elles être atteintes ou évitées ?</v>
      </c>
      <c r="D92" s="5" t="s">
        <v>27</v>
      </c>
      <c r="E92" s="45" t="s">
        <v>259</v>
      </c>
      <c r="F92" s="43"/>
      <c r="G92" s="43"/>
    </row>
    <row r="93" spans="1:7" ht="30">
      <c r="A93" s="29"/>
      <c r="B93" s="42" t="str">
        <f>Critères!B103</f>
        <v>12.7</v>
      </c>
      <c r="C93" s="43" t="str">
        <f>Critères!C103</f>
        <v>Dans chaque page web, un lien d’évitement ou d’accès rapide à la zone de contenu principal est-il présent (hors cas particuliers) ?</v>
      </c>
      <c r="D93" s="5" t="s">
        <v>27</v>
      </c>
      <c r="E93" s="45" t="s">
        <v>259</v>
      </c>
      <c r="F93" s="43"/>
      <c r="G93" s="43"/>
    </row>
    <row r="94" spans="1:7" ht="15.5">
      <c r="A94" s="29"/>
      <c r="B94" s="42" t="str">
        <f>Critères!B104</f>
        <v>12.8</v>
      </c>
      <c r="C94" s="43" t="str">
        <f>Critères!C104</f>
        <v>Dans chaque page web, l’ordre de tabulation est-il cohérent ?</v>
      </c>
      <c r="D94" s="5" t="s">
        <v>27</v>
      </c>
      <c r="E94" s="45" t="s">
        <v>259</v>
      </c>
      <c r="F94" s="43"/>
      <c r="G94" s="43"/>
    </row>
    <row r="95" spans="1:7" ht="20">
      <c r="A95" s="29"/>
      <c r="B95" s="42" t="str">
        <f>Critères!B105</f>
        <v>12.9</v>
      </c>
      <c r="C95" s="43" t="str">
        <f>Critères!C105</f>
        <v>Dans chaque page web, la navigation ne doit pas contenir de piège au clavier. Cette règle est-elle respectée ?</v>
      </c>
      <c r="D95" s="5" t="s">
        <v>27</v>
      </c>
      <c r="E95" s="45" t="s">
        <v>259</v>
      </c>
      <c r="F95" s="43"/>
      <c r="G95" s="43"/>
    </row>
    <row r="96" spans="1:7" ht="40">
      <c r="A96" s="29"/>
      <c r="B96" s="42" t="str">
        <f>Critères!B106</f>
        <v>12.10</v>
      </c>
      <c r="C96" s="43" t="str">
        <f>Critères!C106</f>
        <v>Dans chaque page web, les raccourcis clavier n’utilisant qu’une seule touche (lettre minuscule ou majuscule, ponctuation, chiffre ou symbole) sont-ils contrôlables par l’utilisateur ?</v>
      </c>
      <c r="D96" s="5" t="s">
        <v>27</v>
      </c>
      <c r="E96" s="45" t="s">
        <v>259</v>
      </c>
      <c r="F96" s="43"/>
      <c r="G96" s="43"/>
    </row>
    <row r="97" spans="1:7" ht="40">
      <c r="A97" s="29"/>
      <c r="B97" s="42" t="str">
        <f>Critères!B107</f>
        <v>12.11</v>
      </c>
      <c r="C97" s="43" t="str">
        <f>Critères!C107</f>
        <v>Dans chaque page web, les contenus additionnels apparaissant au survol, à la prise de focus ou à l’activation d’un composant d’interface sont-ils si nécessaire atteignables au clavier ?</v>
      </c>
      <c r="D97" s="5" t="s">
        <v>27</v>
      </c>
      <c r="E97" s="45" t="s">
        <v>259</v>
      </c>
      <c r="F97" s="43"/>
      <c r="G97" s="43"/>
    </row>
    <row r="98" spans="1:7" ht="20">
      <c r="A98" s="29" t="str">
        <f>Critères!$A$109</f>
        <v>CONSULTATION</v>
      </c>
      <c r="B98" s="42" t="str">
        <f>Critères!B109</f>
        <v>13.1</v>
      </c>
      <c r="C98" s="43" t="str">
        <f>Critères!C109</f>
        <v>Pour chaque page web, l’utilisateur a-t-il le contrôle de chaque limite de temps modifiant le contenu (hors cas particuliers) ?</v>
      </c>
      <c r="D98" s="5" t="s">
        <v>27</v>
      </c>
      <c r="E98" s="45" t="s">
        <v>259</v>
      </c>
      <c r="F98" s="43"/>
      <c r="G98" s="43"/>
    </row>
    <row r="99" spans="1:7" ht="30">
      <c r="A99" s="29"/>
      <c r="B99" s="42" t="str">
        <f>Critères!B110</f>
        <v>13.2</v>
      </c>
      <c r="C99" s="43" t="str">
        <f>Critères!C110</f>
        <v>Dans chaque page web, l’ouverture d’une nouvelle fenêtre ne doit pas être déclenchée sans action de l’utilisateur. Cette règle est-elle respectée ?</v>
      </c>
      <c r="D99" s="5" t="s">
        <v>27</v>
      </c>
      <c r="E99" s="45" t="s">
        <v>259</v>
      </c>
      <c r="F99" s="43"/>
      <c r="G99" s="43"/>
    </row>
    <row r="100" spans="1:7" ht="30">
      <c r="A100" s="29"/>
      <c r="B100" s="42" t="str">
        <f>Critères!B111</f>
        <v>13.3</v>
      </c>
      <c r="C100" s="43" t="str">
        <f>Critères!C111</f>
        <v>Dans chaque page web, chaque document bureautique en téléchargement possède-t-il, si nécessaire, une version accessible (hors cas particuliers) ?</v>
      </c>
      <c r="D100" s="5" t="s">
        <v>27</v>
      </c>
      <c r="E100" s="45" t="s">
        <v>259</v>
      </c>
      <c r="F100" s="43"/>
      <c r="G100" s="43"/>
    </row>
    <row r="101" spans="1:7" ht="20">
      <c r="A101" s="29"/>
      <c r="B101" s="42" t="str">
        <f>Critères!B112</f>
        <v>13.4</v>
      </c>
      <c r="C101" s="43" t="str">
        <f>Critères!C112</f>
        <v>Pour chaque document bureautique ayant une version accessible, cette version offre-t-elle la même information ?</v>
      </c>
      <c r="D101" s="5" t="s">
        <v>27</v>
      </c>
      <c r="E101" s="45" t="s">
        <v>259</v>
      </c>
      <c r="F101" s="43"/>
      <c r="G101" s="43"/>
    </row>
    <row r="102" spans="1:7" ht="20">
      <c r="A102" s="29"/>
      <c r="B102" s="42" t="str">
        <f>Critères!B113</f>
        <v>13.5</v>
      </c>
      <c r="C102" s="43" t="str">
        <f>Critères!C113</f>
        <v>Dans chaque page web, chaque contenu cryptique (art ASCII, émoticon, syntaxe cryptique) a-t-il une alternative ?</v>
      </c>
      <c r="D102" s="5" t="s">
        <v>27</v>
      </c>
      <c r="E102" s="45" t="s">
        <v>259</v>
      </c>
      <c r="F102" s="43"/>
      <c r="G102" s="43"/>
    </row>
    <row r="103" spans="1:7" ht="30">
      <c r="A103" s="29"/>
      <c r="B103" s="42" t="str">
        <f>Critères!B114</f>
        <v>13.6</v>
      </c>
      <c r="C103" s="43" t="str">
        <f>Critères!C114</f>
        <v>Dans chaque page web, pour chaque contenu cryptique (art ASCII, émoticon, syntaxe cryptique) ayant une alternative, cette alternative est-elle pertinente ?</v>
      </c>
      <c r="D103" s="5" t="s">
        <v>27</v>
      </c>
      <c r="E103" s="45" t="s">
        <v>259</v>
      </c>
      <c r="F103" s="43"/>
      <c r="G103" s="43"/>
    </row>
    <row r="104" spans="1:7" ht="20">
      <c r="A104" s="29"/>
      <c r="B104" s="42" t="str">
        <f>Critères!B115</f>
        <v>13.7</v>
      </c>
      <c r="C104" s="43" t="str">
        <f>Critères!C115</f>
        <v>Dans chaque page web, les changements brusques de luminosité ou les effets de flash sont-ils correctement utilisés ?</v>
      </c>
      <c r="D104" s="5" t="s">
        <v>27</v>
      </c>
      <c r="E104" s="45" t="s">
        <v>259</v>
      </c>
      <c r="F104" s="43"/>
      <c r="G104" s="43"/>
    </row>
    <row r="105" spans="1:7" ht="20">
      <c r="A105" s="29"/>
      <c r="B105" s="42" t="str">
        <f>Critères!B116</f>
        <v>13.8</v>
      </c>
      <c r="C105" s="43" t="str">
        <f>Critères!C116</f>
        <v>Dans chaque page web, chaque contenu en mouvement ou clignotant est-il contrôlable par l’utilisateur ?</v>
      </c>
      <c r="D105" s="5" t="s">
        <v>27</v>
      </c>
      <c r="E105" s="45" t="s">
        <v>259</v>
      </c>
      <c r="F105" s="43"/>
      <c r="G105" s="43"/>
    </row>
    <row r="106" spans="1:7" ht="30">
      <c r="A106" s="29"/>
      <c r="B106" s="42" t="str">
        <f>Critères!B117</f>
        <v>13.9</v>
      </c>
      <c r="C106" s="43" t="str">
        <f>Critères!C117</f>
        <v>Dans chaque page web, le contenu proposé est-il consultable quelle que soit l’orientation de l’écran (portait ou paysage) (hors cas particuliers) ?</v>
      </c>
      <c r="D106" s="5" t="s">
        <v>27</v>
      </c>
      <c r="E106" s="45" t="s">
        <v>259</v>
      </c>
      <c r="F106" s="43"/>
      <c r="G106" s="43"/>
    </row>
    <row r="107" spans="1:7" ht="40">
      <c r="A107" s="29"/>
      <c r="B107" s="42" t="str">
        <f>Critères!B118</f>
        <v>13.10</v>
      </c>
      <c r="C107" s="43" t="str">
        <f>Critères!C118</f>
        <v>Dans chaque page web, les fonctionnalités utilisables ou disponibles au moyen d’un geste complexe peuvent-elles être également disponibles au moyen d’un geste simple (hors cas particuliers) ?</v>
      </c>
      <c r="D107" s="5" t="s">
        <v>27</v>
      </c>
      <c r="E107" s="45" t="s">
        <v>259</v>
      </c>
      <c r="F107" s="43"/>
      <c r="G107" s="43"/>
    </row>
    <row r="108" spans="1:7" ht="40">
      <c r="A108" s="29"/>
      <c r="B108" s="42" t="str">
        <f>Critères!B119</f>
        <v>13.11</v>
      </c>
      <c r="C108" s="43" t="str">
        <f>Critères!C119</f>
        <v>Dans chaque page web, les actions déclenchées au moyen d’un dispositif de pointage sur un point unique de l’écran peuvent-elles faire l’objet d’une annulation (hors cas particuliers) ?</v>
      </c>
      <c r="D108" s="5" t="s">
        <v>27</v>
      </c>
      <c r="E108" s="45" t="s">
        <v>259</v>
      </c>
      <c r="F108" s="43"/>
      <c r="G108" s="43"/>
    </row>
    <row r="109" spans="1:7" ht="30">
      <c r="A109" s="29"/>
      <c r="B109" s="42" t="str">
        <f>Critères!B120</f>
        <v>13.12</v>
      </c>
      <c r="C109" s="43" t="str">
        <f>Critères!C120</f>
        <v>Dans chaque page web, les fonctionnalités qui impliquent un mouvement de l’appareil ou vers l’appareil peuvent-elles être satisfaites de manière alternative (hors cas particuliers) ?</v>
      </c>
      <c r="D109" s="5" t="s">
        <v>27</v>
      </c>
      <c r="E109" s="45" t="s">
        <v>259</v>
      </c>
      <c r="F109" s="43"/>
      <c r="G109" s="43"/>
    </row>
  </sheetData>
  <mergeCells count="15">
    <mergeCell ref="A74:A86"/>
    <mergeCell ref="A87:A97"/>
    <mergeCell ref="A98:A109"/>
    <mergeCell ref="A31:A38"/>
    <mergeCell ref="A39:A40"/>
    <mergeCell ref="A41:A45"/>
    <mergeCell ref="A46:A55"/>
    <mergeCell ref="A56:A59"/>
    <mergeCell ref="A60:A73"/>
    <mergeCell ref="A1:G1"/>
    <mergeCell ref="A2:G2"/>
    <mergeCell ref="A4:A12"/>
    <mergeCell ref="A13:A14"/>
    <mergeCell ref="A15:A17"/>
    <mergeCell ref="A18:A30"/>
  </mergeCells>
  <conditionalFormatting sqref="D4:D109">
    <cfRule type="cellIs" dxfId="5" priority="3" stopIfTrue="1" operator="equal">
      <formula>"C"</formula>
    </cfRule>
  </conditionalFormatting>
  <conditionalFormatting sqref="E4:E109">
    <cfRule type="cellIs" dxfId="4" priority="1" stopIfTrue="1" operator="equal">
      <formula>"D"</formula>
    </cfRule>
  </conditionalFormatting>
  <conditionalFormatting sqref="E4:E109">
    <cfRule type="cellIs" dxfId="3" priority="2" stopIfTrue="1" operator="equal">
      <formula>"N"</formula>
    </cfRule>
  </conditionalFormatting>
  <conditionalFormatting sqref="D4:D109">
    <cfRule type="cellIs" dxfId="2" priority="5" stopIfTrue="1" operator="equal">
      <formula>"NA"</formula>
    </cfRule>
  </conditionalFormatting>
  <conditionalFormatting sqref="D4:D109">
    <cfRule type="cellIs" dxfId="1" priority="4" stopIfTrue="1" operator="equal">
      <formula>"NC"</formula>
    </cfRule>
  </conditionalFormatting>
  <conditionalFormatting sqref="D4:D109">
    <cfRule type="cellIs" dxfId="0" priority="6" stopIfTrue="1" operator="equal">
      <formula>"NT"</formula>
    </cfRule>
  </conditionalFormatting>
  <dataValidations count="2">
    <dataValidation type="list" showErrorMessage="1" sqref="D4:D109" xr:uid="{93D38A74-E821-4B94-B155-04A1F9B9C8EA}">
      <formula1>"C,NC,NA,NT"</formula1>
    </dataValidation>
    <dataValidation type="list" showErrorMessage="1" sqref="E4:E109" xr:uid="{CDFDFD97-B0F1-4E54-84E5-117E685B96FB}">
      <formula1>"D,N"</formula1>
    </dataValidation>
  </dataValidations>
  <pageMargins left="0.39370078740157505" right="0.39370078740157505" top="0.78740157480315009" bottom="0.59015748031496107" header="0.39370078740157505" footer="0.39370078740157505"/>
  <pageSetup paperSize="0" scale="74" fitToWidth="0" fitToHeight="0" pageOrder="overThenDown" orientation="portrait" useFirstPageNumber="1" horizontalDpi="0" verticalDpi="0" copies="0"/>
  <headerFooter alignWithMargins="0">
    <oddHeader>&amp;LRGAA 3.0 - Relevé pour le site : wwww.site.fr&amp;R&amp;P/&amp;N - 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5886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Critères</vt:lpstr>
      <vt:lpstr>BaseDeCalcul</vt:lpstr>
      <vt:lpstr>P01</vt:lpstr>
      <vt:lpstr>Critères!Zone_d_impression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BOILLEY</cp:lastModifiedBy>
  <cp:revision>532</cp:revision>
  <cp:lastPrinted>2015-03-10T10:18:37Z</cp:lastPrinted>
  <dcterms:created xsi:type="dcterms:W3CDTF">2015-03-10T09:08:51Z</dcterms:created>
  <dcterms:modified xsi:type="dcterms:W3CDTF">2026-03-17T08:46:35Z</dcterms:modified>
</cp:coreProperties>
</file>